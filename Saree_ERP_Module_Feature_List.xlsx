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ổng Quan" sheetId="1" state="visible" r:id="rId1"/>
    <sheet xmlns:r="http://schemas.openxmlformats.org/officeDocument/2006/relationships" name="🔐 Phân Quyền" sheetId="2" state="visible" r:id="rId2"/>
    <sheet xmlns:r="http://schemas.openxmlformats.org/officeDocument/2006/relationships" name="📊 Tracking Trạng Thái" sheetId="3" state="visible" r:id="rId3"/>
    <sheet xmlns:r="http://schemas.openxmlformats.org/officeDocument/2006/relationships" name="💰 Báo Giá Dự Á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2E75B6"/>
      <sz val="10"/>
    </font>
    <font>
      <name val="Arial"/>
      <b val="1"/>
      <color rgb="00375623"/>
      <sz val="10"/>
    </font>
    <font>
      <name val="Arial"/>
      <color rgb="00555555"/>
      <sz val="9"/>
    </font>
    <font>
      <name val="Arial"/>
      <color rgb="00888888"/>
      <sz val="9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Courier New"/>
      <color rgb="007B3F9E"/>
      <sz val="9"/>
    </font>
    <font>
      <name val="Arial"/>
      <b val="1"/>
      <color rgb="00375623"/>
      <sz val="11"/>
    </font>
    <font>
      <name val="Arial"/>
      <color rgb="00C0392B"/>
      <sz val="11"/>
    </font>
    <font>
      <name val="Arial"/>
      <color rgb="00E67E22"/>
      <sz val="11"/>
    </font>
    <font>
      <name val="Arial"/>
      <color rgb="001F3864"/>
      <sz val="10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i val="1"/>
      <color rgb="00888888"/>
      <sz val="10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2C7BB6"/>
      </patternFill>
    </fill>
    <fill>
      <patternFill patternType="solid">
        <fgColor rgb="00F5F9FF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1A6B3A"/>
      </patternFill>
    </fill>
    <fill>
      <patternFill patternType="solid">
        <fgColor rgb="007B3F9E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16A085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8E44AD"/>
      </patternFill>
    </fill>
    <fill>
      <patternFill patternType="solid">
        <fgColor rgb="00D35400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6" fillId="19" borderId="0" applyAlignment="1" pivotButton="0" quotePrefix="0" xfId="0">
      <alignment horizontal="center" vertical="center"/>
    </xf>
    <xf numFmtId="164" fontId="6" fillId="19" borderId="0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3" fontId="4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3" fontId="16" fillId="1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3" fontId="16" fillId="8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3" fontId="17" fillId="2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3" fontId="3" fillId="19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3" fontId="18" fillId="11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5" customWidth="1" min="3" max="3"/>
    <col width="20" customWidth="1" min="4" max="4"/>
    <col width="18" customWidth="1" min="5" max="5"/>
    <col width="18" customWidth="1" min="6" max="6"/>
    <col width="18" customWidth="1" min="7" max="7"/>
  </cols>
  <sheetData>
    <row r="1" ht="36" customHeight="1">
      <c r="A1" s="1" t="inlineStr">
        <is>
          <t>SAREE ERP SYSTEM — DANH SÁCH MODULE &amp; TÍNH NĂNG</t>
        </is>
      </c>
    </row>
    <row r="2" ht="22" customHeight="1">
      <c r="A2" s="2" t="inlineStr">
        <is>
          <t>Tài liệu mô tả toàn bộ modules, tính năng, trạng thái và phân quyền của hệ thống ERP</t>
        </is>
      </c>
    </row>
    <row r="3" ht="20" customHeight="1">
      <c r="A3" s="3" t="inlineStr">
        <is>
          <t>Phiên bản:</t>
        </is>
      </c>
      <c r="B3" s="4" t="inlineStr">
        <is>
          <t>v1.0</t>
        </is>
      </c>
      <c r="C3" s="3" t="inlineStr">
        <is>
          <t>Ngày cập nhật:</t>
        </is>
      </c>
      <c r="D3" s="4" t="inlineStr">
        <is>
          <t>2026-05-11</t>
        </is>
      </c>
      <c r="E3" s="3" t="inlineStr">
        <is>
          <t>Tác giả:</t>
        </is>
      </c>
      <c r="F3" s="4" t="inlineStr">
        <is>
          <t>SAREE Team</t>
        </is>
      </c>
    </row>
    <row r="4" ht="8" customHeight="1">
      <c r="A4" t="inlineStr"/>
    </row>
    <row r="5" ht="28" customHeight="1">
      <c r="A5" s="5" t="inlineStr">
        <is>
          <t>#</t>
        </is>
      </c>
      <c r="B5" s="5" t="inlineStr">
        <is>
          <t>Module</t>
        </is>
      </c>
      <c r="C5" s="5" t="inlineStr">
        <is>
          <t>Tính năng</t>
        </is>
      </c>
      <c r="D5" s="5" t="inlineStr">
        <is>
          <t>Mô tả chi tiết</t>
        </is>
      </c>
      <c r="E5" s="5" t="inlineStr">
        <is>
          <t>Trạng thái</t>
        </is>
      </c>
      <c r="F5" s="5" t="inlineStr">
        <is>
          <t>Phân quyền</t>
        </is>
      </c>
      <c r="G5" s="5" t="inlineStr">
        <is>
          <t>Ghi chú / Giá</t>
        </is>
      </c>
    </row>
    <row r="6" ht="24" customHeight="1">
      <c r="A6" s="6" t="inlineStr">
        <is>
          <t xml:space="preserve">  1. Xác Thực &amp; Tài Khoản</t>
        </is>
      </c>
    </row>
    <row r="7" ht="32" customHeight="1">
      <c r="A7" s="7" t="n">
        <v>1</v>
      </c>
      <c r="B7" s="8" t="inlineStr">
        <is>
          <t>Xác Thực &amp; Tài Khoản</t>
        </is>
      </c>
      <c r="C7" s="9" t="inlineStr">
        <is>
          <t>Đăng nhập / Đăng xuất</t>
        </is>
      </c>
      <c r="D7" s="10" t="inlineStr">
        <is>
          <t>Xác thực bằng email/password, JWT token, refresh token</t>
        </is>
      </c>
      <c r="E7" s="11" t="inlineStr">
        <is>
          <t>✅ Hoàn thiện</t>
        </is>
      </c>
      <c r="F7" s="12" t="inlineStr">
        <is>
          <t>Tất cả người dùng</t>
        </is>
      </c>
      <c r="G7" s="13" t="inlineStr"/>
    </row>
    <row r="8" ht="32" customHeight="1">
      <c r="A8" s="14" t="n">
        <v>2</v>
      </c>
      <c r="B8" s="15" t="inlineStr">
        <is>
          <t>Xác Thực &amp; Tài Khoản</t>
        </is>
      </c>
      <c r="C8" s="16" t="inlineStr">
        <is>
          <t>Đăng ký tài khoản</t>
        </is>
      </c>
      <c r="D8" s="17" t="inlineStr">
        <is>
          <t>Tự đăng ký hoặc được admin tạo tài khoản</t>
        </is>
      </c>
      <c r="E8" s="11" t="inlineStr">
        <is>
          <t>✅ Hoàn thiện</t>
        </is>
      </c>
      <c r="F8" s="18" t="inlineStr">
        <is>
          <t>Public / Superuser</t>
        </is>
      </c>
      <c r="G8" s="19" t="inlineStr"/>
    </row>
    <row r="9" ht="32" customHeight="1">
      <c r="A9" s="7" t="n">
        <v>3</v>
      </c>
      <c r="B9" s="8" t="inlineStr">
        <is>
          <t>Xác Thực &amp; Tài Khoản</t>
        </is>
      </c>
      <c r="C9" s="9" t="inlineStr">
        <is>
          <t>Quên mật khẩu / Khôi phục</t>
        </is>
      </c>
      <c r="D9" s="10" t="inlineStr">
        <is>
          <t>Gửi link khôi phục qua email, đặt lại mật khẩu</t>
        </is>
      </c>
      <c r="E9" s="11" t="inlineStr">
        <is>
          <t>✅ Hoàn thiện</t>
        </is>
      </c>
      <c r="F9" s="12" t="inlineStr">
        <is>
          <t>Tất cả người dùng</t>
        </is>
      </c>
      <c r="G9" s="13" t="inlineStr"/>
    </row>
    <row r="10" ht="32" customHeight="1">
      <c r="A10" s="14" t="n">
        <v>4</v>
      </c>
      <c r="B10" s="15" t="inlineStr">
        <is>
          <t>Xác Thực &amp; Tài Khoản</t>
        </is>
      </c>
      <c r="C10" s="16" t="inlineStr">
        <is>
          <t>Đổi mật khẩu</t>
        </is>
      </c>
      <c r="D10" s="17" t="inlineStr">
        <is>
          <t>Người dùng tự đổi mật khẩu trong profile</t>
        </is>
      </c>
      <c r="E10" s="11" t="inlineStr">
        <is>
          <t>✅ Hoàn thiện</t>
        </is>
      </c>
      <c r="F10" s="18" t="inlineStr">
        <is>
          <t>Tất cả người dùng</t>
        </is>
      </c>
      <c r="G10" s="19" t="inlineStr"/>
    </row>
    <row r="11" ht="32" customHeight="1">
      <c r="A11" s="7" t="n">
        <v>5</v>
      </c>
      <c r="B11" s="8" t="inlineStr">
        <is>
          <t>Xác Thực &amp; Tài Khoản</t>
        </is>
      </c>
      <c r="C11" s="9" t="inlineStr">
        <is>
          <t>Cập nhật thông tin cá nhân</t>
        </is>
      </c>
      <c r="D11" s="10" t="inlineStr">
        <is>
          <t>Sửa tên, email, ảnh đại diện trong profile</t>
        </is>
      </c>
      <c r="E11" s="11" t="inlineStr">
        <is>
          <t>✅ Hoàn thiện</t>
        </is>
      </c>
      <c r="F11" s="12" t="inlineStr">
        <is>
          <t>Tất cả người dùng</t>
        </is>
      </c>
      <c r="G11" s="13" t="inlineStr"/>
    </row>
    <row r="12" ht="24" customHeight="1">
      <c r="A12" s="20" t="inlineStr">
        <is>
          <t xml:space="preserve">  2. Quản Lý Công Ty &amp; Tổ Chức</t>
        </is>
      </c>
    </row>
    <row r="13" ht="32" customHeight="1">
      <c r="A13" s="7" t="n">
        <v>6</v>
      </c>
      <c r="B13" s="8" t="inlineStr">
        <is>
          <t>Quản Lý Công Ty &amp; Tổ Chức</t>
        </is>
      </c>
      <c r="C13" s="9" t="inlineStr">
        <is>
          <t>Tạo / Sửa / Xoá công ty</t>
        </is>
      </c>
      <c r="D13" s="10" t="inlineStr">
        <is>
          <t>Superuser quản lý nhiều công ty trong hệ thống</t>
        </is>
      </c>
      <c r="E13" s="11" t="inlineStr">
        <is>
          <t>✅ Hoàn thiện</t>
        </is>
      </c>
      <c r="F13" s="12" t="inlineStr">
        <is>
          <t>Superuser</t>
        </is>
      </c>
      <c r="G13" s="13" t="inlineStr">
        <is>
          <t>Multi-tenant</t>
        </is>
      </c>
    </row>
    <row r="14" ht="32" customHeight="1">
      <c r="A14" s="14" t="n">
        <v>7</v>
      </c>
      <c r="B14" s="15" t="inlineStr">
        <is>
          <t>Quản Lý Công Ty &amp; Tổ Chức</t>
        </is>
      </c>
      <c r="C14" s="16" t="inlineStr">
        <is>
          <t>Quản lý thành viên công ty</t>
        </is>
      </c>
      <c r="D14" s="17" t="inlineStr">
        <is>
          <t>Thêm/bỏ thành viên, cập nhật vai trò trong công ty</t>
        </is>
      </c>
      <c r="E14" s="11" t="inlineStr">
        <is>
          <t>✅ Hoàn thiện</t>
        </is>
      </c>
      <c r="F14" s="18" t="inlineStr">
        <is>
          <t>COMPANY_MANAGE</t>
        </is>
      </c>
      <c r="G14" s="19" t="inlineStr"/>
    </row>
    <row r="15" ht="32" customHeight="1">
      <c r="A15" s="7" t="n">
        <v>8</v>
      </c>
      <c r="B15" s="8" t="inlineStr">
        <is>
          <t>Quản Lý Công Ty &amp; Tổ Chức</t>
        </is>
      </c>
      <c r="C15" s="9" t="inlineStr">
        <is>
          <t>Quản lý phòng ban (Department)</t>
        </is>
      </c>
      <c r="D15" s="10" t="inlineStr">
        <is>
          <t>Tạo cây phòng ban, gán nhân viên vào phòng ban</t>
        </is>
      </c>
      <c r="E15" s="11" t="inlineStr">
        <is>
          <t>✅ Hoàn thiện</t>
        </is>
      </c>
      <c r="F15" s="12" t="inlineStr">
        <is>
          <t>COMPANY_MANAGE</t>
        </is>
      </c>
      <c r="G15" s="13" t="inlineStr"/>
    </row>
    <row r="16" ht="32" customHeight="1">
      <c r="A16" s="14" t="n">
        <v>9</v>
      </c>
      <c r="B16" s="15" t="inlineStr">
        <is>
          <t>Quản Lý Công Ty &amp; Tổ Chức</t>
        </is>
      </c>
      <c r="C16" s="16" t="inlineStr">
        <is>
          <t>Sơ đồ tổ chức (Org Tree)</t>
        </is>
      </c>
      <c r="D16" s="17" t="inlineStr">
        <is>
          <t>Hiển thị cây tổ chức theo phòng ban và vai trò</t>
        </is>
      </c>
      <c r="E16" s="11" t="inlineStr">
        <is>
          <t>✅ Hoàn thiện</t>
        </is>
      </c>
      <c r="F16" s="18" t="inlineStr">
        <is>
          <t>Tất cả thành viên</t>
        </is>
      </c>
      <c r="G16" s="19" t="inlineStr"/>
    </row>
    <row r="17" ht="32" customHeight="1">
      <c r="A17" s="7" t="n">
        <v>10</v>
      </c>
      <c r="B17" s="8" t="inlineStr">
        <is>
          <t>Quản Lý Công Ty &amp; Tổ Chức</t>
        </is>
      </c>
      <c r="C17" s="9" t="inlineStr">
        <is>
          <t>Hồ sơ tài khoản (Account Profile)</t>
        </is>
      </c>
      <c r="D17" s="10" t="inlineStr">
        <is>
          <t>Xem thông tin tài khoản, công ty, vai trò hiện tại</t>
        </is>
      </c>
      <c r="E17" s="11" t="inlineStr">
        <is>
          <t>✅ Hoàn thiện</t>
        </is>
      </c>
      <c r="F17" s="12" t="inlineStr">
        <is>
          <t>Tất cả thành viên</t>
        </is>
      </c>
      <c r="G17" s="13" t="inlineStr"/>
    </row>
    <row r="18" ht="24" customHeight="1">
      <c r="A18" s="21" t="inlineStr">
        <is>
          <t xml:space="preserve">  3. Phân Quyền Linh Hoạt (RBAC)</t>
        </is>
      </c>
    </row>
    <row r="19" ht="32" customHeight="1">
      <c r="A19" s="7" t="n">
        <v>11</v>
      </c>
      <c r="B19" s="8" t="inlineStr">
        <is>
          <t>Phân Quyền (RBAC)</t>
        </is>
      </c>
      <c r="C19" s="9" t="inlineStr">
        <is>
          <t>Quản lý vai trò (Role)</t>
        </is>
      </c>
      <c r="D19" s="10" t="inlineStr">
        <is>
          <t>Tạo, sửa, xoá vai trò; gán vai trò cho người dùng</t>
        </is>
      </c>
      <c r="E19" s="11" t="inlineStr">
        <is>
          <t>✅ Hoàn thiện</t>
        </is>
      </c>
      <c r="F19" s="12" t="inlineStr">
        <is>
          <t>Director / Superuser</t>
        </is>
      </c>
      <c r="G19" s="13" t="inlineStr"/>
    </row>
    <row r="20" ht="32" customHeight="1">
      <c r="A20" s="14" t="n">
        <v>12</v>
      </c>
      <c r="B20" s="15" t="inlineStr">
        <is>
          <t>Phân Quyền (RBAC)</t>
        </is>
      </c>
      <c r="C20" s="16" t="inlineStr">
        <is>
          <t>Quản lý quyền (Permission)</t>
        </is>
      </c>
      <c r="D20" s="17" t="inlineStr">
        <is>
          <t>Định nghĩa quyền, gán quyền cho vai trò</t>
        </is>
      </c>
      <c r="E20" s="11" t="inlineStr">
        <is>
          <t>✅ Hoàn thiện</t>
        </is>
      </c>
      <c r="F20" s="18" t="inlineStr">
        <is>
          <t>Director / Superuser</t>
        </is>
      </c>
      <c r="G20" s="19" t="inlineStr"/>
    </row>
    <row r="21" ht="32" customHeight="1">
      <c r="A21" s="7" t="n">
        <v>13</v>
      </c>
      <c r="B21" s="8" t="inlineStr">
        <is>
          <t>Phân Quyền (RBAC)</t>
        </is>
      </c>
      <c r="C21" s="9" t="inlineStr">
        <is>
          <t>Phân quyền theo dự án</t>
        </is>
      </c>
      <c r="D21" s="10" t="inlineStr">
        <is>
          <t>Vai trò dự án riêng biệt với vai trò công ty</t>
        </is>
      </c>
      <c r="E21" s="11" t="inlineStr">
        <is>
          <t>✅ Hoàn thiện</t>
        </is>
      </c>
      <c r="F21" s="12" t="inlineStr">
        <is>
          <t>PROJECT_UPDATE</t>
        </is>
      </c>
      <c r="G21" s="13" t="inlineStr"/>
    </row>
    <row r="22" ht="32" customHeight="1">
      <c r="A22" s="14" t="n">
        <v>14</v>
      </c>
      <c r="B22" s="15" t="inlineStr">
        <is>
          <t>Phân Quyền (RBAC)</t>
        </is>
      </c>
      <c r="C22" s="16" t="inlineStr">
        <is>
          <t>Phân quyền cấp độ tài nguyên</t>
        </is>
      </c>
      <c r="D22" s="17" t="inlineStr">
        <is>
          <t>Kiểm tra quyền theo từng action: CREATE, VIEW, UPDATE, DELETE, APPROVE</t>
        </is>
      </c>
      <c r="E22" s="11" t="inlineStr">
        <is>
          <t>✅ Hoàn thiện</t>
        </is>
      </c>
      <c r="F22" s="18" t="inlineStr">
        <is>
          <t>Hệ thống tự động</t>
        </is>
      </c>
      <c r="G22" s="19" t="inlineStr"/>
    </row>
    <row r="23" ht="32" customHeight="1">
      <c r="A23" s="7" t="n">
        <v>15</v>
      </c>
      <c r="B23" s="8" t="inlineStr">
        <is>
          <t>Phân Quyền (RBAC)</t>
        </is>
      </c>
      <c r="C23" s="9" t="inlineStr">
        <is>
          <t>Vai trò phụ thuộc (Role Dependency)</t>
        </is>
      </c>
      <c r="D23" s="10" t="inlineStr">
        <is>
          <t>Định nghĩa quan hệ phụ thuộc giữa các vai trò</t>
        </is>
      </c>
      <c r="E23" s="11" t="inlineStr">
        <is>
          <t>✅ Hoàn thiện</t>
        </is>
      </c>
      <c r="F23" s="12" t="inlineStr">
        <is>
          <t>Director / Superuser</t>
        </is>
      </c>
      <c r="G23" s="13" t="inlineStr"/>
    </row>
    <row r="24" ht="24" customHeight="1">
      <c r="A24" s="22" t="inlineStr">
        <is>
          <t xml:space="preserve">  4. Quản Lý Dự Án</t>
        </is>
      </c>
    </row>
    <row r="25" ht="32" customHeight="1">
      <c r="A25" s="7" t="n">
        <v>16</v>
      </c>
      <c r="B25" s="8" t="inlineStr">
        <is>
          <t>Quản Lý Dự Án</t>
        </is>
      </c>
      <c r="C25" s="9" t="inlineStr">
        <is>
          <t>Tạo / Sửa / Xoá dự án</t>
        </is>
      </c>
      <c r="D25" s="10" t="inlineStr">
        <is>
          <t>Tạo dự án mới, cập nhật thông tin, xoá mềm</t>
        </is>
      </c>
      <c r="E25" s="11" t="inlineStr">
        <is>
          <t>✅ Hoàn thiện</t>
        </is>
      </c>
      <c r="F25" s="12" t="inlineStr">
        <is>
          <t>PROJECT_CREATE / PROJECT_UPDATE</t>
        </is>
      </c>
      <c r="G25" s="13" t="inlineStr"/>
    </row>
    <row r="26" ht="32" customHeight="1">
      <c r="A26" s="14" t="n">
        <v>17</v>
      </c>
      <c r="B26" s="15" t="inlineStr">
        <is>
          <t>Quản Lý Dự Án</t>
        </is>
      </c>
      <c r="C26" s="16" t="inlineStr">
        <is>
          <t>Danh sách dự án (lọc theo trạng thái)</t>
        </is>
      </c>
      <c r="D26" s="17" t="inlineStr">
        <is>
          <t>Xem toàn bộ dự án, lọc theo status, phân trang</t>
        </is>
      </c>
      <c r="E26" s="11" t="inlineStr">
        <is>
          <t>✅ Hoàn thiện</t>
        </is>
      </c>
      <c r="F26" s="18" t="inlineStr">
        <is>
          <t>Thành viên dự án</t>
        </is>
      </c>
      <c r="G26" s="19" t="inlineStr"/>
    </row>
    <row r="27" ht="32" customHeight="1">
      <c r="A27" s="7" t="n">
        <v>18</v>
      </c>
      <c r="B27" s="8" t="inlineStr">
        <is>
          <t>Quản Lý Dự Án</t>
        </is>
      </c>
      <c r="C27" s="9" t="inlineStr">
        <is>
          <t>Quản lý thành viên dự án</t>
        </is>
      </c>
      <c r="D27" s="10" t="inlineStr">
        <is>
          <t>Thêm / xoá thành viên, gán vai trò trong dự án</t>
        </is>
      </c>
      <c r="E27" s="11" t="inlineStr">
        <is>
          <t>✅ Hoàn thiện</t>
        </is>
      </c>
      <c r="F27" s="12" t="inlineStr">
        <is>
          <t>PROJECT_UPDATE</t>
        </is>
      </c>
      <c r="G27" s="13" t="inlineStr"/>
    </row>
    <row r="28" ht="32" customHeight="1">
      <c r="A28" s="14" t="n">
        <v>19</v>
      </c>
      <c r="B28" s="15" t="inlineStr">
        <is>
          <t>Quản Lý Dự Án</t>
        </is>
      </c>
      <c r="C28" s="16" t="inlineStr">
        <is>
          <t>Cấu hình cấp độ task (Task Level)</t>
        </is>
      </c>
      <c r="D28" s="17" t="inlineStr">
        <is>
          <t>Định nghĩa các level phân cấp task trong dự án (HeadTask → SubTask)</t>
        </is>
      </c>
      <c r="E28" s="11" t="inlineStr">
        <is>
          <t>✅ Hoàn thiện</t>
        </is>
      </c>
      <c r="F28" s="18" t="inlineStr">
        <is>
          <t>PROJECT_UPDATE</t>
        </is>
      </c>
      <c r="G28" s="19" t="inlineStr"/>
    </row>
    <row r="29" ht="32" customHeight="1">
      <c r="A29" s="7" t="n">
        <v>20</v>
      </c>
      <c r="B29" s="8" t="inlineStr">
        <is>
          <t>Quản Lý Dự Án</t>
        </is>
      </c>
      <c r="C29" s="9" t="inlineStr">
        <is>
          <t>Cảnh báo trễ tiến độ (Delay Warnings)</t>
        </is>
      </c>
      <c r="D29" s="10" t="inlineStr">
        <is>
          <t>Tự động phát hiện task/dự án bị trễ, hiển thị cảnh báo</t>
        </is>
      </c>
      <c r="E29" s="11" t="inlineStr">
        <is>
          <t>✅ Hoàn thiện</t>
        </is>
      </c>
      <c r="F29" s="12" t="inlineStr">
        <is>
          <t>Thành viên dự án</t>
        </is>
      </c>
      <c r="G29" s="13" t="inlineStr"/>
    </row>
    <row r="30" ht="32" customHeight="1">
      <c r="A30" s="14" t="n">
        <v>21</v>
      </c>
      <c r="B30" s="15" t="inlineStr">
        <is>
          <t>Quản Lý Dự Án</t>
        </is>
      </c>
      <c r="C30" s="16" t="inlineStr">
        <is>
          <t>Chat room tự động theo dự án</t>
        </is>
      </c>
      <c r="D30" s="17" t="inlineStr">
        <is>
          <t>Mỗi dự án tự động tạo phòng chat riêng</t>
        </is>
      </c>
      <c r="E30" s="11" t="inlineStr">
        <is>
          <t>✅ Hoàn thiện</t>
        </is>
      </c>
      <c r="F30" s="18" t="inlineStr">
        <is>
          <t>Thành viên dự án</t>
        </is>
      </c>
      <c r="G30" s="19" t="inlineStr"/>
    </row>
    <row r="31" ht="24" customHeight="1">
      <c r="A31" s="23" t="inlineStr">
        <is>
          <t xml:space="preserve">  5. Quản Lý Công Việc (Task)</t>
        </is>
      </c>
    </row>
    <row r="32" ht="32" customHeight="1">
      <c r="A32" s="14" t="n">
        <v>22</v>
      </c>
      <c r="B32" s="15" t="inlineStr">
        <is>
          <t>Quản Lý Task</t>
        </is>
      </c>
      <c r="C32" s="16" t="inlineStr">
        <is>
          <t>Tạo task gốc (HeadTask)</t>
        </is>
      </c>
      <c r="D32" s="17" t="inlineStr">
        <is>
          <t>Tạo task cấp cao nhất trong dự án</t>
        </is>
      </c>
      <c r="E32" s="11" t="inlineStr">
        <is>
          <t>✅ Hoàn thiện</t>
        </is>
      </c>
      <c r="F32" s="18" t="inlineStr">
        <is>
          <t>TASK_CREATE</t>
        </is>
      </c>
      <c r="G32" s="19" t="inlineStr"/>
    </row>
    <row r="33" ht="32" customHeight="1">
      <c r="A33" s="7" t="n">
        <v>23</v>
      </c>
      <c r="B33" s="8" t="inlineStr">
        <is>
          <t>Quản Lý Task</t>
        </is>
      </c>
      <c r="C33" s="9" t="inlineStr">
        <is>
          <t>Tạo task con (SubTask)</t>
        </is>
      </c>
      <c r="D33" s="10" t="inlineStr">
        <is>
          <t>Tạo task con theo cây phân cấp nhiều cấp độ</t>
        </is>
      </c>
      <c r="E33" s="11" t="inlineStr">
        <is>
          <t>✅ Hoàn thiện</t>
        </is>
      </c>
      <c r="F33" s="12" t="inlineStr">
        <is>
          <t>TASK_CREATE</t>
        </is>
      </c>
      <c r="G33" s="13" t="inlineStr"/>
    </row>
    <row r="34" ht="32" customHeight="1">
      <c r="A34" s="14" t="n">
        <v>24</v>
      </c>
      <c r="B34" s="15" t="inlineStr">
        <is>
          <t>Quản Lý Task</t>
        </is>
      </c>
      <c r="C34" s="16" t="inlineStr">
        <is>
          <t>Xem chi tiết / Sửa / Xoá task</t>
        </is>
      </c>
      <c r="D34" s="17" t="inlineStr">
        <is>
          <t>Xem thông tin đầy đủ task, chỉnh sửa, xoá</t>
        </is>
      </c>
      <c r="E34" s="11" t="inlineStr">
        <is>
          <t>✅ Hoàn thiện</t>
        </is>
      </c>
      <c r="F34" s="18" t="inlineStr">
        <is>
          <t>TASK_UPDATE / TASK_DELETE</t>
        </is>
      </c>
      <c r="G34" s="19" t="inlineStr"/>
    </row>
    <row r="35" ht="32" customHeight="1">
      <c r="A35" s="7" t="n">
        <v>25</v>
      </c>
      <c r="B35" s="8" t="inlineStr">
        <is>
          <t>Quản Lý Task</t>
        </is>
      </c>
      <c r="C35" s="9" t="inlineStr">
        <is>
          <t>Cập nhật trạng thái task</t>
        </is>
      </c>
      <c r="D35" s="10" t="inlineStr">
        <is>
          <t>Chuyển trạng thái: Todo → In Progress → Done / Rejected</t>
        </is>
      </c>
      <c r="E35" s="11" t="inlineStr">
        <is>
          <t>✅ Hoàn thiện</t>
        </is>
      </c>
      <c r="F35" s="12" t="inlineStr">
        <is>
          <t>TASK_UPDATE_STATUS</t>
        </is>
      </c>
      <c r="G35" s="13" t="inlineStr"/>
    </row>
    <row r="36" ht="32" customHeight="1">
      <c r="A36" s="14" t="n">
        <v>26</v>
      </c>
      <c r="B36" s="15" t="inlineStr">
        <is>
          <t>Quản Lý Task</t>
        </is>
      </c>
      <c r="C36" s="16" t="inlineStr">
        <is>
          <t>Gán / Bỏ gán người thực hiện (Assignee)</t>
        </is>
      </c>
      <c r="D36" s="17" t="inlineStr">
        <is>
          <t>Phân công nhiều người thực hiện cho một task</t>
        </is>
      </c>
      <c r="E36" s="11" t="inlineStr">
        <is>
          <t>✅ Hoàn thiện</t>
        </is>
      </c>
      <c r="F36" s="18" t="inlineStr">
        <is>
          <t>TASK_UPDATE</t>
        </is>
      </c>
      <c r="G36" s="19" t="inlineStr"/>
    </row>
    <row r="37" ht="32" customHeight="1">
      <c r="A37" s="7" t="n">
        <v>27</v>
      </c>
      <c r="B37" s="8" t="inlineStr">
        <is>
          <t>Quản Lý Task</t>
        </is>
      </c>
      <c r="C37" s="9" t="inlineStr">
        <is>
          <t>Thêm / Xoá người theo dõi (Observer)</t>
        </is>
      </c>
      <c r="D37" s="10" t="inlineStr">
        <is>
          <t>Cho phép người dùng theo dõi tiến độ task mà không phải người thực hiện</t>
        </is>
      </c>
      <c r="E37" s="11" t="inlineStr">
        <is>
          <t>✅ Hoàn thiện</t>
        </is>
      </c>
      <c r="F37" s="12" t="inlineStr">
        <is>
          <t>TASK_UPDATE</t>
        </is>
      </c>
      <c r="G37" s="13" t="inlineStr"/>
    </row>
    <row r="38" ht="32" customHeight="1">
      <c r="A38" s="14" t="n">
        <v>28</v>
      </c>
      <c r="B38" s="15" t="inlineStr">
        <is>
          <t>Quản Lý Task</t>
        </is>
      </c>
      <c r="C38" s="16" t="inlineStr">
        <is>
          <t>Chuyển nhượng task (Reassign)</t>
        </is>
      </c>
      <c r="D38" s="17" t="inlineStr">
        <is>
          <t>Chuyển toàn bộ task sang người khác thực hiện</t>
        </is>
      </c>
      <c r="E38" s="11" t="inlineStr">
        <is>
          <t>✅ Hoàn thiện</t>
        </is>
      </c>
      <c r="F38" s="18" t="inlineStr">
        <is>
          <t>TASK_UPDATE</t>
        </is>
      </c>
      <c r="G38" s="19" t="inlineStr"/>
    </row>
    <row r="39" ht="32" customHeight="1">
      <c r="A39" s="7" t="n">
        <v>29</v>
      </c>
      <c r="B39" s="8" t="inlineStr">
        <is>
          <t>Quản Lý Task</t>
        </is>
      </c>
      <c r="C39" s="9" t="inlineStr">
        <is>
          <t>Phụ thuộc task (Task Dependency)</t>
        </is>
      </c>
      <c r="D39" s="10" t="inlineStr">
        <is>
          <t>Định nghĩa quan hệ phụ thuộc giữa các task (FS, SS, FF)</t>
        </is>
      </c>
      <c r="E39" s="11" t="inlineStr">
        <is>
          <t>✅ Hoàn thiện</t>
        </is>
      </c>
      <c r="F39" s="12" t="inlineStr">
        <is>
          <t>TASK_UPDATE</t>
        </is>
      </c>
      <c r="G39" s="13" t="inlineStr"/>
    </row>
    <row r="40" ht="32" customHeight="1">
      <c r="A40" s="14" t="n">
        <v>30</v>
      </c>
      <c r="B40" s="15" t="inlineStr">
        <is>
          <t>Quản Lý Task</t>
        </is>
      </c>
      <c r="C40" s="16" t="inlineStr">
        <is>
          <t>Kiểm tra xung đột dependency</t>
        </is>
      </c>
      <c r="D40" s="17" t="inlineStr">
        <is>
          <t>Phát hiện xung đột vòng lặp trong dependency graph</t>
        </is>
      </c>
      <c r="E40" s="11" t="inlineStr">
        <is>
          <t>✅ Hoàn thiện</t>
        </is>
      </c>
      <c r="F40" s="18" t="inlineStr">
        <is>
          <t>Hệ thống tự động</t>
        </is>
      </c>
      <c r="G40" s="19" t="inlineStr"/>
    </row>
    <row r="41" ht="32" customHeight="1">
      <c r="A41" s="7" t="n">
        <v>31</v>
      </c>
      <c r="B41" s="8" t="inlineStr">
        <is>
          <t>Quản Lý Task</t>
        </is>
      </c>
      <c r="C41" s="9" t="inlineStr">
        <is>
          <t>Bình luận task (Comment)</t>
        </is>
      </c>
      <c r="D41" s="10" t="inlineStr">
        <is>
          <t>Thảo luận, bình luận trực tiếp trong task</t>
        </is>
      </c>
      <c r="E41" s="11" t="inlineStr">
        <is>
          <t>✅ Hoàn thiện</t>
        </is>
      </c>
      <c r="F41" s="12" t="inlineStr">
        <is>
          <t>Thành viên dự án</t>
        </is>
      </c>
      <c r="G41" s="13" t="inlineStr"/>
    </row>
    <row r="42" ht="32" customHeight="1">
      <c r="A42" s="14" t="n">
        <v>32</v>
      </c>
      <c r="B42" s="15" t="inlineStr">
        <is>
          <t>Quản Lý Task</t>
        </is>
      </c>
      <c r="C42" s="16" t="inlineStr">
        <is>
          <t>Duyệt bình luận (Comment Approval)</t>
        </is>
      </c>
      <c r="D42" s="17" t="inlineStr">
        <is>
          <t>Quản lý duyệt / từ chối bình luận trong task</t>
        </is>
      </c>
      <c r="E42" s="11" t="inlineStr">
        <is>
          <t>✅ Hoàn thiện</t>
        </is>
      </c>
      <c r="F42" s="18" t="inlineStr">
        <is>
          <t>TASK_UPDATE</t>
        </is>
      </c>
      <c r="G42" s="19" t="inlineStr"/>
    </row>
    <row r="43" ht="32" customHeight="1">
      <c r="A43" s="7" t="n">
        <v>33</v>
      </c>
      <c r="B43" s="8" t="inlineStr">
        <is>
          <t>Quản Lý Task</t>
        </is>
      </c>
      <c r="C43" s="9" t="inlineStr">
        <is>
          <t>Báo cáo tiến độ (Progress Report)</t>
        </is>
      </c>
      <c r="D43" s="10" t="inlineStr">
        <is>
          <t>Người thực hiện báo cáo tiến độ theo % hoàn thành</t>
        </is>
      </c>
      <c r="E43" s="11" t="inlineStr">
        <is>
          <t>✅ Hoàn thiện</t>
        </is>
      </c>
      <c r="F43" s="12" t="inlineStr">
        <is>
          <t>TASK_UPDATE_STATUS</t>
        </is>
      </c>
      <c r="G43" s="13" t="inlineStr"/>
    </row>
    <row r="44" ht="32" customHeight="1">
      <c r="A44" s="14" t="n">
        <v>34</v>
      </c>
      <c r="B44" s="15" t="inlineStr">
        <is>
          <t>Quản Lý Task</t>
        </is>
      </c>
      <c r="C44" s="16" t="inlineStr">
        <is>
          <t>Upload ảnh tiến độ (Progress Photo)</t>
        </is>
      </c>
      <c r="D44" s="17" t="inlineStr">
        <is>
          <t>Upload hình ảnh minh chứng tiến độ công việc</t>
        </is>
      </c>
      <c r="E44" s="11" t="inlineStr">
        <is>
          <t>✅ Hoàn thiện</t>
        </is>
      </c>
      <c r="F44" s="18" t="inlineStr">
        <is>
          <t>TASK_UPDATE_STATUS</t>
        </is>
      </c>
      <c r="G44" s="19" t="inlineStr"/>
    </row>
    <row r="45" ht="32" customHeight="1">
      <c r="A45" s="7" t="n">
        <v>35</v>
      </c>
      <c r="B45" s="8" t="inlineStr">
        <is>
          <t>Quản Lý Task</t>
        </is>
      </c>
      <c r="C45" s="9" t="inlineStr">
        <is>
          <t>Bằng chứng hoàn thành (Proof)</t>
        </is>
      </c>
      <c r="D45" s="10" t="inlineStr">
        <is>
          <t>Upload và duyệt bằng chứng hoàn thành task</t>
        </is>
      </c>
      <c r="E45" s="11" t="inlineStr">
        <is>
          <t>✅ Hoàn thiện</t>
        </is>
      </c>
      <c r="F45" s="12" t="inlineStr">
        <is>
          <t>PROOF_APPROVE</t>
        </is>
      </c>
      <c r="G45" s="13" t="inlineStr"/>
    </row>
    <row r="46" ht="32" customHeight="1">
      <c r="A46" s="14" t="n">
        <v>36</v>
      </c>
      <c r="B46" s="15" t="inlineStr">
        <is>
          <t>Quản Lý Task</t>
        </is>
      </c>
      <c r="C46" s="16" t="inlineStr">
        <is>
          <t>Nhật ký kiểm toán (Audit Log)</t>
        </is>
      </c>
      <c r="D46" s="17" t="inlineStr">
        <is>
          <t>Ghi lại toàn bộ lịch sử thay đổi của task</t>
        </is>
      </c>
      <c r="E46" s="11" t="inlineStr">
        <is>
          <t>✅ Hoàn thiện</t>
        </is>
      </c>
      <c r="F46" s="18" t="inlineStr">
        <is>
          <t>TASK_UPDATE</t>
        </is>
      </c>
      <c r="G46" s="19" t="inlineStr"/>
    </row>
    <row r="47" ht="32" customHeight="1">
      <c r="A47" s="7" t="n">
        <v>37</v>
      </c>
      <c r="B47" s="8" t="inlineStr">
        <is>
          <t>Quản Lý Task</t>
        </is>
      </c>
      <c r="C47" s="9" t="inlineStr">
        <is>
          <t>Dashboard cá nhân (My Tasks)</t>
        </is>
      </c>
      <c r="D47" s="10" t="inlineStr">
        <is>
          <t>Tổng quan task được giao, đang làm, sắp đến hạn</t>
        </is>
      </c>
      <c r="E47" s="11" t="inlineStr">
        <is>
          <t>✅ Hoàn thiện</t>
        </is>
      </c>
      <c r="F47" s="12" t="inlineStr">
        <is>
          <t>Tất cả người dùng</t>
        </is>
      </c>
      <c r="G47" s="13" t="inlineStr"/>
    </row>
    <row r="48" ht="32" customHeight="1">
      <c r="A48" s="14" t="n">
        <v>38</v>
      </c>
      <c r="B48" s="15" t="inlineStr">
        <is>
          <t>Quản Lý Task</t>
        </is>
      </c>
      <c r="C48" s="16" t="inlineStr">
        <is>
          <t>Yêu cầu vật tư từ task</t>
        </is>
      </c>
      <c r="D48" s="17" t="inlineStr">
        <is>
          <t>Tạo yêu cầu vật tư liên kết trực tiếp với task</t>
        </is>
      </c>
      <c r="E48" s="11" t="inlineStr">
        <is>
          <t>✅ Hoàn thiện</t>
        </is>
      </c>
      <c r="F48" s="18" t="inlineStr">
        <is>
          <t>MATERIAL_REQUEST_CREATE</t>
        </is>
      </c>
      <c r="G48" s="19" t="inlineStr"/>
    </row>
    <row r="49" ht="24" customHeight="1">
      <c r="A49" s="24" t="inlineStr">
        <is>
          <t xml:space="preserve">  6. Biểu Đồ Gantt</t>
        </is>
      </c>
    </row>
    <row r="50" ht="32" customHeight="1">
      <c r="A50" s="14" t="n">
        <v>39</v>
      </c>
      <c r="B50" s="15" t="inlineStr">
        <is>
          <t>Biểu Đồ Gantt</t>
        </is>
      </c>
      <c r="C50" s="16" t="inlineStr">
        <is>
          <t>Xem Gantt theo dự án</t>
        </is>
      </c>
      <c r="D50" s="17" t="inlineStr">
        <is>
          <t>Hiển thị timeline task dạng Gantt Chart theo dự án</t>
        </is>
      </c>
      <c r="E50" s="11" t="inlineStr">
        <is>
          <t>✅ Hoàn thiện</t>
        </is>
      </c>
      <c r="F50" s="18" t="inlineStr">
        <is>
          <t>Thành viên dự án</t>
        </is>
      </c>
      <c r="G50" s="19" t="inlineStr"/>
    </row>
    <row r="51" ht="32" customHeight="1">
      <c r="A51" s="7" t="n">
        <v>40</v>
      </c>
      <c r="B51" s="8" t="inlineStr">
        <is>
          <t>Biểu Đồ Gantt</t>
        </is>
      </c>
      <c r="C51" s="9" t="inlineStr">
        <is>
          <t>Hiển thị dependency trên Gantt</t>
        </is>
      </c>
      <c r="D51" s="10" t="inlineStr">
        <is>
          <t>Vẽ đường kết nối task phụ thuộc trực quan</t>
        </is>
      </c>
      <c r="E51" s="11" t="inlineStr">
        <is>
          <t>✅ Hoàn thiện</t>
        </is>
      </c>
      <c r="F51" s="12" t="inlineStr">
        <is>
          <t>Thành viên dự án</t>
        </is>
      </c>
      <c r="G51" s="13" t="inlineStr"/>
    </row>
    <row r="52" ht="32" customHeight="1">
      <c r="A52" s="14" t="n">
        <v>41</v>
      </c>
      <c r="B52" s="15" t="inlineStr">
        <is>
          <t>Biểu Đồ Gantt</t>
        </is>
      </c>
      <c r="C52" s="16" t="inlineStr">
        <is>
          <t>Realtime update (WebSocket)</t>
        </is>
      </c>
      <c r="D52" s="17" t="inlineStr">
        <is>
          <t>Cập nhật Gantt tự động khi có thay đổi trạng thái task</t>
        </is>
      </c>
      <c r="E52" s="11" t="inlineStr">
        <is>
          <t>✅ Hoàn thiện</t>
        </is>
      </c>
      <c r="F52" s="18" t="inlineStr">
        <is>
          <t>Thành viên dự án</t>
        </is>
      </c>
      <c r="G52" s="19" t="inlineStr"/>
    </row>
    <row r="53" ht="24" customHeight="1">
      <c r="A53" s="25" t="inlineStr">
        <is>
          <t xml:space="preserve">  7. Quản Lý Báo Giá (Quotation)</t>
        </is>
      </c>
    </row>
    <row r="54" ht="32" customHeight="1">
      <c r="A54" s="14" t="n">
        <v>42</v>
      </c>
      <c r="B54" s="15" t="inlineStr">
        <is>
          <t>Quản Lý Báo Giá</t>
        </is>
      </c>
      <c r="C54" s="16" t="inlineStr">
        <is>
          <t>Tạo hồ sơ báo giá mới</t>
        </is>
      </c>
      <c r="D54" s="17" t="inlineStr">
        <is>
          <t>Phòng Kinh Doanh tạo báo giá với thông tin khách hàng, thiết bị</t>
        </is>
      </c>
      <c r="E54" s="11" t="inlineStr">
        <is>
          <t>✅ Hoàn thiện</t>
        </is>
      </c>
      <c r="F54" s="18" t="inlineStr">
        <is>
          <t>QUOTATION_CREATE</t>
        </is>
      </c>
      <c r="G54" s="19" t="inlineStr"/>
    </row>
    <row r="55" ht="32" customHeight="1">
      <c r="A55" s="7" t="n">
        <v>43</v>
      </c>
      <c r="B55" s="8" t="inlineStr">
        <is>
          <t>Quản Lý Báo Giá</t>
        </is>
      </c>
      <c r="C55" s="9" t="inlineStr">
        <is>
          <t>Danh sách báo giá (lọc/tìm kiếm)</t>
        </is>
      </c>
      <c r="D55" s="10" t="inlineStr">
        <is>
          <t>Xem danh sách báo giá, lọc theo trạng thái, stage, công ty</t>
        </is>
      </c>
      <c r="E55" s="11" t="inlineStr">
        <is>
          <t>✅ Hoàn thiện</t>
        </is>
      </c>
      <c r="F55" s="12" t="inlineStr">
        <is>
          <t>QUOTATION_VIEW / VIEW_ALL</t>
        </is>
      </c>
      <c r="G55" s="13" t="inlineStr"/>
    </row>
    <row r="56" ht="32" customHeight="1">
      <c r="A56" s="14" t="n">
        <v>44</v>
      </c>
      <c r="B56" s="15" t="inlineStr">
        <is>
          <t>Quản Lý Báo Giá</t>
        </is>
      </c>
      <c r="C56" s="16" t="inlineStr">
        <is>
          <t>Xem chi tiết / Sửa báo giá</t>
        </is>
      </c>
      <c r="D56" s="17" t="inlineStr">
        <is>
          <t>Xem toàn bộ thông tin báo giá, chỉnh sửa nội dung</t>
        </is>
      </c>
      <c r="E56" s="11" t="inlineStr">
        <is>
          <t>✅ Hoàn thiện</t>
        </is>
      </c>
      <c r="F56" s="18" t="inlineStr">
        <is>
          <t>QUOTATION_UPDATE</t>
        </is>
      </c>
      <c r="G56" s="19" t="inlineStr"/>
    </row>
    <row r="57" ht="32" customHeight="1">
      <c r="A57" s="7" t="n">
        <v>45</v>
      </c>
      <c r="B57" s="8" t="inlineStr">
        <is>
          <t>Quản Lý Báo Giá</t>
        </is>
      </c>
      <c r="C57" s="9" t="inlineStr">
        <is>
          <t>Quy trình duyệt đa bước (Stage Workflow)</t>
        </is>
      </c>
      <c r="D57" s="10" t="inlineStr">
        <is>
          <t>Khảo sát → Thiết kế → Định giá → Phê duyệt → Gửi KH → Đàm phán → Đóng</t>
        </is>
      </c>
      <c r="E57" s="11" t="inlineStr">
        <is>
          <t>✅ Hoàn thiện</t>
        </is>
      </c>
      <c r="F57" s="12" t="inlineStr">
        <is>
          <t>QUOTATION_APPROVE_*</t>
        </is>
      </c>
      <c r="G57" s="13" t="inlineStr">
        <is>
          <t>7 stages</t>
        </is>
      </c>
    </row>
    <row r="58" ht="32" customHeight="1">
      <c r="A58" s="14" t="n">
        <v>46</v>
      </c>
      <c r="B58" s="15" t="inlineStr">
        <is>
          <t>Quản Lý Báo Giá</t>
        </is>
      </c>
      <c r="C58" s="16" t="inlineStr">
        <is>
          <t>Nộp khảo sát (Submit Survey)</t>
        </is>
      </c>
      <c r="D58" s="17" t="inlineStr">
        <is>
          <t>Phòng KD nộp kết quả khảo sát hiện trường</t>
        </is>
      </c>
      <c r="E58" s="11" t="inlineStr">
        <is>
          <t>✅ Hoàn thiện</t>
        </is>
      </c>
      <c r="F58" s="18" t="inlineStr">
        <is>
          <t>QUOTATION_UPDATE</t>
        </is>
      </c>
      <c r="G58" s="19" t="inlineStr"/>
    </row>
    <row r="59" ht="32" customHeight="1">
      <c r="A59" s="7" t="n">
        <v>47</v>
      </c>
      <c r="B59" s="8" t="inlineStr">
        <is>
          <t>Quản Lý Báo Giá</t>
        </is>
      </c>
      <c r="C59" s="9" t="inlineStr">
        <is>
          <t>Duyệt khảo sát</t>
        </is>
      </c>
      <c r="D59" s="10" t="inlineStr">
        <is>
          <t>Quản lý duyệt / từ chối kết quả khảo sát</t>
        </is>
      </c>
      <c r="E59" s="11" t="inlineStr">
        <is>
          <t>✅ Hoàn thiện</t>
        </is>
      </c>
      <c r="F59" s="12" t="inlineStr">
        <is>
          <t>QUOTATION_APPROVE_SURVEY</t>
        </is>
      </c>
      <c r="G59" s="13" t="inlineStr"/>
    </row>
    <row r="60" ht="32" customHeight="1">
      <c r="A60" s="14" t="n">
        <v>48</v>
      </c>
      <c r="B60" s="15" t="inlineStr">
        <is>
          <t>Quản Lý Báo Giá</t>
        </is>
      </c>
      <c r="C60" s="16" t="inlineStr">
        <is>
          <t>Nộp thiết kế (Submit Design)</t>
        </is>
      </c>
      <c r="D60" s="17" t="inlineStr">
        <is>
          <t>Upload file thiết kế, bản vẽ kỹ thuật</t>
        </is>
      </c>
      <c r="E60" s="11" t="inlineStr">
        <is>
          <t>✅ Hoàn thiện</t>
        </is>
      </c>
      <c r="F60" s="18" t="inlineStr">
        <is>
          <t>QUOTATION_UPDATE</t>
        </is>
      </c>
      <c r="G60" s="19" t="inlineStr"/>
    </row>
    <row r="61" ht="32" customHeight="1">
      <c r="A61" s="7" t="n">
        <v>49</v>
      </c>
      <c r="B61" s="8" t="inlineStr">
        <is>
          <t>Quản Lý Báo Giá</t>
        </is>
      </c>
      <c r="C61" s="9" t="inlineStr">
        <is>
          <t>Duyệt thiết kế</t>
        </is>
      </c>
      <c r="D61" s="10" t="inlineStr">
        <is>
          <t>Quản lý duyệt / từ chối bản thiết kế</t>
        </is>
      </c>
      <c r="E61" s="11" t="inlineStr">
        <is>
          <t>✅ Hoàn thiện</t>
        </is>
      </c>
      <c r="F61" s="12" t="inlineStr">
        <is>
          <t>QUOTATION_APPROVE_DESIGN</t>
        </is>
      </c>
      <c r="G61" s="13" t="inlineStr"/>
    </row>
    <row r="62" ht="32" customHeight="1">
      <c r="A62" s="14" t="n">
        <v>50</v>
      </c>
      <c r="B62" s="15" t="inlineStr">
        <is>
          <t>Quản Lý Báo Giá</t>
        </is>
      </c>
      <c r="C62" s="16" t="inlineStr">
        <is>
          <t>Nộp định giá (Submit Pricing)</t>
        </is>
      </c>
      <c r="D62" s="17" t="inlineStr">
        <is>
          <t>Nhập chi tiết giá vật tư, nhân công, chi phí khác</t>
        </is>
      </c>
      <c r="E62" s="11" t="inlineStr">
        <is>
          <t>✅ Hoàn thiện</t>
        </is>
      </c>
      <c r="F62" s="18" t="inlineStr">
        <is>
          <t>QUOTATION_UPDATE</t>
        </is>
      </c>
      <c r="G62" s="19" t="inlineStr"/>
    </row>
    <row r="63" ht="32" customHeight="1">
      <c r="A63" s="7" t="n">
        <v>51</v>
      </c>
      <c r="B63" s="8" t="inlineStr">
        <is>
          <t>Quản Lý Báo Giá</t>
        </is>
      </c>
      <c r="C63" s="9" t="inlineStr">
        <is>
          <t>Hoàn thiện &amp; Duyệt cuối (Finalize)</t>
        </is>
      </c>
      <c r="D63" s="10" t="inlineStr">
        <is>
          <t>Tổng hợp báo giá cuối cùng, duyệt trước khi gửi khách</t>
        </is>
      </c>
      <c r="E63" s="11" t="inlineStr">
        <is>
          <t>✅ Hoàn thiện</t>
        </is>
      </c>
      <c r="F63" s="12" t="inlineStr">
        <is>
          <t>QUOTATION_APPROVE_FINAL</t>
        </is>
      </c>
      <c r="G63" s="13" t="inlineStr"/>
    </row>
    <row r="64" ht="32" customHeight="1">
      <c r="A64" s="14" t="n">
        <v>52</v>
      </c>
      <c r="B64" s="15" t="inlineStr">
        <is>
          <t>Quản Lý Báo Giá</t>
        </is>
      </c>
      <c r="C64" s="16" t="inlineStr">
        <is>
          <t>Gửi báo giá cho khách hàng</t>
        </is>
      </c>
      <c r="D64" s="17" t="inlineStr">
        <is>
          <t>Đánh dấu đã gửi báo giá chính thức đến khách hàng</t>
        </is>
      </c>
      <c r="E64" s="11" t="inlineStr">
        <is>
          <t>✅ Hoàn thiện</t>
        </is>
      </c>
      <c r="F64" s="18" t="inlineStr">
        <is>
          <t>QUOTATION_UPDATE</t>
        </is>
      </c>
      <c r="G64" s="19" t="inlineStr"/>
    </row>
    <row r="65" ht="32" customHeight="1">
      <c r="A65" s="7" t="n">
        <v>53</v>
      </c>
      <c r="B65" s="8" t="inlineStr">
        <is>
          <t>Quản Lý Báo Giá</t>
        </is>
      </c>
      <c r="C65" s="9" t="inlineStr">
        <is>
          <t>Đàm phán &amp; Duyệt đàm phán</t>
        </is>
      </c>
      <c r="D65" s="10" t="inlineStr">
        <is>
          <t>Ghi nhận kết quả đàm phán, điều chỉnh giá, duyệt phương án</t>
        </is>
      </c>
      <c r="E65" s="11" t="inlineStr">
        <is>
          <t>✅ Hoàn thiện</t>
        </is>
      </c>
      <c r="F65" s="12" t="inlineStr">
        <is>
          <t>QUOTATION_APPROVE_NEGOTIATION</t>
        </is>
      </c>
      <c r="G65" s="13" t="inlineStr"/>
    </row>
    <row r="66" ht="32" customHeight="1">
      <c r="A66" s="14" t="n">
        <v>54</v>
      </c>
      <c r="B66" s="15" t="inlineStr">
        <is>
          <t>Quản Lý Báo Giá</t>
        </is>
      </c>
      <c r="C66" s="16" t="inlineStr">
        <is>
          <t>Đóng báo giá (Won / Lost)</t>
        </is>
      </c>
      <c r="D66" s="17" t="inlineStr">
        <is>
          <t>Đánh dấu thắng/thua, ghi lý do thua nếu có</t>
        </is>
      </c>
      <c r="E66" s="11" t="inlineStr">
        <is>
          <t>✅ Hoàn thiện</t>
        </is>
      </c>
      <c r="F66" s="18" t="inlineStr">
        <is>
          <t>QUOTATION_UPDATE</t>
        </is>
      </c>
      <c r="G66" s="19" t="inlineStr"/>
    </row>
    <row r="67" ht="32" customHeight="1">
      <c r="A67" s="7" t="n">
        <v>55</v>
      </c>
      <c r="B67" s="8" t="inlineStr">
        <is>
          <t>Quản Lý Báo Giá</t>
        </is>
      </c>
      <c r="C67" s="9" t="inlineStr">
        <is>
          <t>Nhật ký đàm phán (Negotiation Log)</t>
        </is>
      </c>
      <c r="D67" s="10" t="inlineStr">
        <is>
          <t>Ghi lại toàn bộ lịch sử đàm phán với khách hàng</t>
        </is>
      </c>
      <c r="E67" s="11" t="inlineStr">
        <is>
          <t>✅ Hoàn thiện</t>
        </is>
      </c>
      <c r="F67" s="12" t="inlineStr">
        <is>
          <t>QUOTATION_VIEW</t>
        </is>
      </c>
      <c r="G67" s="13" t="inlineStr"/>
    </row>
    <row r="68" ht="32" customHeight="1">
      <c r="A68" s="14" t="n">
        <v>56</v>
      </c>
      <c r="B68" s="15" t="inlineStr">
        <is>
          <t>Quản Lý Báo Giá</t>
        </is>
      </c>
      <c r="C68" s="16" t="inlineStr">
        <is>
          <t>Phiên bản báo giá (Version History)</t>
        </is>
      </c>
      <c r="D68" s="17" t="inlineStr">
        <is>
          <t>Lưu lịch sử các phiên bản báo giá đã chỉnh sửa</t>
        </is>
      </c>
      <c r="E68" s="11" t="inlineStr">
        <is>
          <t>✅ Hoàn thiện</t>
        </is>
      </c>
      <c r="F68" s="18" t="inlineStr">
        <is>
          <t>QUOTATION_VIEW</t>
        </is>
      </c>
      <c r="G68" s="19" t="inlineStr"/>
    </row>
    <row r="69" ht="32" customHeight="1">
      <c r="A69" s="7" t="n">
        <v>57</v>
      </c>
      <c r="B69" s="8" t="inlineStr">
        <is>
          <t>Quản Lý Báo Giá</t>
        </is>
      </c>
      <c r="C69" s="9" t="inlineStr">
        <is>
          <t>Đính kèm file (Attachment)</t>
        </is>
      </c>
      <c r="D69" s="10" t="inlineStr">
        <is>
          <t>Upload và quản lý tài liệu đính kèm trong báo giá</t>
        </is>
      </c>
      <c r="E69" s="11" t="inlineStr">
        <is>
          <t>✅ Hoàn thiện</t>
        </is>
      </c>
      <c r="F69" s="12" t="inlineStr">
        <is>
          <t>QUOTATION_UPDATE</t>
        </is>
      </c>
      <c r="G69" s="13" t="inlineStr"/>
    </row>
    <row r="70" ht="32" customHeight="1">
      <c r="A70" s="14" t="n">
        <v>58</v>
      </c>
      <c r="B70" s="15" t="inlineStr">
        <is>
          <t>Quản Lý Báo Giá</t>
        </is>
      </c>
      <c r="C70" s="16" t="inlineStr">
        <is>
          <t>Hồ sơ công ty khách hàng</t>
        </is>
      </c>
      <c r="D70" s="17" t="inlineStr">
        <is>
          <t>Tổng hợp thông tin, lịch sử giao dịch theo công ty khách</t>
        </is>
      </c>
      <c r="E70" s="11" t="inlineStr">
        <is>
          <t>✅ Hoàn thiện</t>
        </is>
      </c>
      <c r="F70" s="18" t="inlineStr">
        <is>
          <t>QUOTATION_VIEW</t>
        </is>
      </c>
      <c r="G70" s="19" t="inlineStr"/>
    </row>
    <row r="71" ht="32" customHeight="1">
      <c r="A71" s="7" t="n">
        <v>59</v>
      </c>
      <c r="B71" s="8" t="inlineStr">
        <is>
          <t>Quản Lý Báo Giá</t>
        </is>
      </c>
      <c r="C71" s="9" t="inlineStr">
        <is>
          <t>Báo giá chờ duyệt (My Pending)</t>
        </is>
      </c>
      <c r="D71" s="10" t="inlineStr">
        <is>
          <t>Danh sách báo giá đang chờ người dùng hiện tại xử lý</t>
        </is>
      </c>
      <c r="E71" s="11" t="inlineStr">
        <is>
          <t>✅ Hoàn thiện</t>
        </is>
      </c>
      <c r="F71" s="12" t="inlineStr">
        <is>
          <t>QUOTATION_VIEW</t>
        </is>
      </c>
      <c r="G71" s="13" t="inlineStr"/>
    </row>
    <row r="72" ht="24" customHeight="1">
      <c r="A72" s="26" t="inlineStr">
        <is>
          <t xml:space="preserve">  8. Báo Cáo &amp; Phân Tích Báo Giá</t>
        </is>
      </c>
    </row>
    <row r="73" ht="32" customHeight="1">
      <c r="A73" s="7" t="n">
        <v>60</v>
      </c>
      <c r="B73" s="8" t="inlineStr">
        <is>
          <t>Báo Cáo Báo Giá</t>
        </is>
      </c>
      <c r="C73" s="9" t="inlineStr">
        <is>
          <t>Tổng hợp báo cáo (Summary Report)</t>
        </is>
      </c>
      <c r="D73" s="10" t="inlineStr">
        <is>
          <t>KPIs tổng quan: tổng giá trị, tỷ lệ thắng, phân bổ theo stage</t>
        </is>
      </c>
      <c r="E73" s="11" t="inlineStr">
        <is>
          <t>✅ Hoàn thiện</t>
        </is>
      </c>
      <c r="F73" s="12" t="inlineStr">
        <is>
          <t>QUOTATION_VIEW</t>
        </is>
      </c>
      <c r="G73" s="13" t="inlineStr"/>
    </row>
    <row r="74" ht="32" customHeight="1">
      <c r="A74" s="14" t="n">
        <v>61</v>
      </c>
      <c r="B74" s="15" t="inlineStr">
        <is>
          <t>Báo Cáo Báo Giá</t>
        </is>
      </c>
      <c r="C74" s="16" t="inlineStr">
        <is>
          <t>Báo cáo theo khách hàng</t>
        </is>
      </c>
      <c r="D74" s="17" t="inlineStr">
        <is>
          <t>Phân tích doanh thu và tỷ lệ thắng theo từng công ty khách hàng</t>
        </is>
      </c>
      <c r="E74" s="11" t="inlineStr">
        <is>
          <t>✅ Hoàn thiện</t>
        </is>
      </c>
      <c r="F74" s="18" t="inlineStr">
        <is>
          <t>QUOTATION_VIEW</t>
        </is>
      </c>
      <c r="G74" s="19" t="inlineStr"/>
    </row>
    <row r="75" ht="32" customHeight="1">
      <c r="A75" s="7" t="n">
        <v>62</v>
      </c>
      <c r="B75" s="8" t="inlineStr">
        <is>
          <t>Báo Cáo Báo Giá</t>
        </is>
      </c>
      <c r="C75" s="9" t="inlineStr">
        <is>
          <t>Báo cáo theo thiết bị / sản phẩm</t>
        </is>
      </c>
      <c r="D75" s="10" t="inlineStr">
        <is>
          <t>Thống kê báo giá theo loại thiết bị, sản phẩm</t>
        </is>
      </c>
      <c r="E75" s="11" t="inlineStr">
        <is>
          <t>✅ Hoàn thiện</t>
        </is>
      </c>
      <c r="F75" s="12" t="inlineStr">
        <is>
          <t>QUOTATION_VIEW</t>
        </is>
      </c>
      <c r="G75" s="13" t="inlineStr"/>
    </row>
    <row r="76" ht="32" customHeight="1">
      <c r="A76" s="14" t="n">
        <v>63</v>
      </c>
      <c r="B76" s="15" t="inlineStr">
        <is>
          <t>Báo Cáo Báo Giá</t>
        </is>
      </c>
      <c r="C76" s="16" t="inlineStr">
        <is>
          <t>Phân tích lý do thua (Lost Analysis)</t>
        </is>
      </c>
      <c r="D76" s="17" t="inlineStr">
        <is>
          <t>Thống kê và phân tích nguyên nhân thất bại trong đấu thầu</t>
        </is>
      </c>
      <c r="E76" s="11" t="inlineStr">
        <is>
          <t>✅ Hoàn thiện</t>
        </is>
      </c>
      <c r="F76" s="18" t="inlineStr">
        <is>
          <t>QUOTATION_VIEW</t>
        </is>
      </c>
      <c r="G76" s="19" t="inlineStr"/>
    </row>
    <row r="77" ht="24" customHeight="1">
      <c r="A77" s="27" t="inlineStr">
        <is>
          <t xml:space="preserve">  9. Quản Lý Hợp Đồng (Contract)</t>
        </is>
      </c>
    </row>
    <row r="78" ht="32" customHeight="1">
      <c r="A78" s="14" t="n">
        <v>64</v>
      </c>
      <c r="B78" s="15" t="inlineStr">
        <is>
          <t>Quản Lý Hợp Đồng</t>
        </is>
      </c>
      <c r="C78" s="16" t="inlineStr">
        <is>
          <t>Tạo hợp đồng mới</t>
        </is>
      </c>
      <c r="D78" s="17" t="inlineStr">
        <is>
          <t>Tạo hợp đồng từ báo giá đã thắng hoặc độc lập</t>
        </is>
      </c>
      <c r="E78" s="11" t="inlineStr">
        <is>
          <t>✅ Hoàn thiện</t>
        </is>
      </c>
      <c r="F78" s="18" t="inlineStr">
        <is>
          <t>CONTRACT_CREATE</t>
        </is>
      </c>
      <c r="G78" s="19" t="inlineStr"/>
    </row>
    <row r="79" ht="32" customHeight="1">
      <c r="A79" s="7" t="n">
        <v>65</v>
      </c>
      <c r="B79" s="8" t="inlineStr">
        <is>
          <t>Quản Lý Hợp Đồng</t>
        </is>
      </c>
      <c r="C79" s="9" t="inlineStr">
        <is>
          <t>Danh sách hợp đồng (lọc theo trạng thái)</t>
        </is>
      </c>
      <c r="D79" s="10" t="inlineStr">
        <is>
          <t>Xem danh sách, lọc theo status, tìm kiếm</t>
        </is>
      </c>
      <c r="E79" s="11" t="inlineStr">
        <is>
          <t>✅ Hoàn thiện</t>
        </is>
      </c>
      <c r="F79" s="12" t="inlineStr">
        <is>
          <t>CONTRACT_VIEW / VIEW_ALL</t>
        </is>
      </c>
      <c r="G79" s="13" t="inlineStr"/>
    </row>
    <row r="80" ht="32" customHeight="1">
      <c r="A80" s="14" t="n">
        <v>66</v>
      </c>
      <c r="B80" s="15" t="inlineStr">
        <is>
          <t>Quản Lý Hợp Đồng</t>
        </is>
      </c>
      <c r="C80" s="16" t="inlineStr">
        <is>
          <t>Xem chi tiết / Sửa hợp đồng</t>
        </is>
      </c>
      <c r="D80" s="17" t="inlineStr">
        <is>
          <t>Xem và chỉnh sửa thông tin hợp đồng</t>
        </is>
      </c>
      <c r="E80" s="11" t="inlineStr">
        <is>
          <t>✅ Hoàn thiện</t>
        </is>
      </c>
      <c r="F80" s="18" t="inlineStr">
        <is>
          <t>CONTRACT_UPDATE</t>
        </is>
      </c>
      <c r="G80" s="19" t="inlineStr"/>
    </row>
    <row r="81" ht="32" customHeight="1">
      <c r="A81" s="7" t="n">
        <v>67</v>
      </c>
      <c r="B81" s="8" t="inlineStr">
        <is>
          <t>Quản Lý Hợp Đồng</t>
        </is>
      </c>
      <c r="C81" s="9" t="inlineStr">
        <is>
          <t>Quy trình hợp đồng đa bước</t>
        </is>
      </c>
      <c r="D81" s="10" t="inlineStr">
        <is>
          <t>Draft → Submit → Approve/Reject → Sign → Advance → Production → Complete</t>
        </is>
      </c>
      <c r="E81" s="11" t="inlineStr">
        <is>
          <t>✅ Hoàn thiện</t>
        </is>
      </c>
      <c r="F81" s="12" t="inlineStr">
        <is>
          <t>CONTRACT_APPROVE</t>
        </is>
      </c>
      <c r="G81" s="13" t="inlineStr">
        <is>
          <t>7 bước</t>
        </is>
      </c>
    </row>
    <row r="82" ht="32" customHeight="1">
      <c r="A82" s="14" t="n">
        <v>68</v>
      </c>
      <c r="B82" s="15" t="inlineStr">
        <is>
          <t>Quản Lý Hợp Đồng</t>
        </is>
      </c>
      <c r="C82" s="16" t="inlineStr">
        <is>
          <t>Nộp duyệt hợp đồng (Submit)</t>
        </is>
      </c>
      <c r="D82" s="17" t="inlineStr">
        <is>
          <t>Phòng KD nộp hợp đồng để quản lý phê duyệt</t>
        </is>
      </c>
      <c r="E82" s="11" t="inlineStr">
        <is>
          <t>✅ Hoàn thiện</t>
        </is>
      </c>
      <c r="F82" s="18" t="inlineStr">
        <is>
          <t>CONTRACT_UPDATE</t>
        </is>
      </c>
      <c r="G82" s="19" t="inlineStr"/>
    </row>
    <row r="83" ht="32" customHeight="1">
      <c r="A83" s="7" t="n">
        <v>69</v>
      </c>
      <c r="B83" s="8" t="inlineStr">
        <is>
          <t>Quản Lý Hợp Đồng</t>
        </is>
      </c>
      <c r="C83" s="9" t="inlineStr">
        <is>
          <t>Duyệt / Từ chối hợp đồng</t>
        </is>
      </c>
      <c r="D83" s="10" t="inlineStr">
        <is>
          <t>Quản lý phê duyệt hoặc từ chối hợp đồng kèm lý do</t>
        </is>
      </c>
      <c r="E83" s="11" t="inlineStr">
        <is>
          <t>✅ Hoàn thiện</t>
        </is>
      </c>
      <c r="F83" s="12" t="inlineStr">
        <is>
          <t>CONTRACT_APPROVE</t>
        </is>
      </c>
      <c r="G83" s="13" t="inlineStr"/>
    </row>
    <row r="84" ht="32" customHeight="1">
      <c r="A84" s="14" t="n">
        <v>70</v>
      </c>
      <c r="B84" s="15" t="inlineStr">
        <is>
          <t>Quản Lý Hợp Đồng</t>
        </is>
      </c>
      <c r="C84" s="16" t="inlineStr">
        <is>
          <t>Ký hợp đồng (Sign)</t>
        </is>
      </c>
      <c r="D84" s="17" t="inlineStr">
        <is>
          <t>Ghi nhận ký kết hợp đồng chính thức với khách hàng</t>
        </is>
      </c>
      <c r="E84" s="11" t="inlineStr">
        <is>
          <t>✅ Hoàn thiện</t>
        </is>
      </c>
      <c r="F84" s="18" t="inlineStr">
        <is>
          <t>CONTRACT_APPROVE</t>
        </is>
      </c>
      <c r="G84" s="19" t="inlineStr"/>
    </row>
    <row r="85" ht="32" customHeight="1">
      <c r="A85" s="7" t="n">
        <v>71</v>
      </c>
      <c r="B85" s="8" t="inlineStr">
        <is>
          <t>Quản Lý Hợp Đồng</t>
        </is>
      </c>
      <c r="C85" s="9" t="inlineStr">
        <is>
          <t>Xác nhận tạm ứng (Confirm Advance)</t>
        </is>
      </c>
      <c r="D85" s="10" t="inlineStr">
        <is>
          <t>Ghi nhận và xác nhận đã nhận tiền tạm ứng từ khách</t>
        </is>
      </c>
      <c r="E85" s="11" t="inlineStr">
        <is>
          <t>✅ Hoàn thiện</t>
        </is>
      </c>
      <c r="F85" s="12" t="inlineStr">
        <is>
          <t>CONTRACT_APPROVE</t>
        </is>
      </c>
      <c r="G85" s="13" t="inlineStr"/>
    </row>
    <row r="86" ht="32" customHeight="1">
      <c r="A86" s="14" t="n">
        <v>72</v>
      </c>
      <c r="B86" s="15" t="inlineStr">
        <is>
          <t>Quản Lý Hợp Đồng</t>
        </is>
      </c>
      <c r="C86" s="16" t="inlineStr">
        <is>
          <t>Bắt đầu sản xuất (Start Production)</t>
        </is>
      </c>
      <c r="D86" s="17" t="inlineStr">
        <is>
          <t>Kích hoạt trạng thái sản xuất sau khi đã nhận tạm ứng</t>
        </is>
      </c>
      <c r="E86" s="11" t="inlineStr">
        <is>
          <t>✅ Hoàn thiện</t>
        </is>
      </c>
      <c r="F86" s="18" t="inlineStr">
        <is>
          <t>CONTRACT_APPROVE</t>
        </is>
      </c>
      <c r="G86" s="19" t="inlineStr"/>
    </row>
    <row r="87" ht="32" customHeight="1">
      <c r="A87" s="7" t="n">
        <v>73</v>
      </c>
      <c r="B87" s="8" t="inlineStr">
        <is>
          <t>Quản Lý Hợp Đồng</t>
        </is>
      </c>
      <c r="C87" s="9" t="inlineStr">
        <is>
          <t>Hoàn thành hợp đồng (Complete)</t>
        </is>
      </c>
      <c r="D87" s="10" t="inlineStr">
        <is>
          <t>Đánh dấu hoàn thành bàn giao, đóng hợp đồng</t>
        </is>
      </c>
      <c r="E87" s="11" t="inlineStr">
        <is>
          <t>✅ Hoàn thiện</t>
        </is>
      </c>
      <c r="F87" s="12" t="inlineStr">
        <is>
          <t>CONTRACT_APPROVE</t>
        </is>
      </c>
      <c r="G87" s="13" t="inlineStr"/>
    </row>
    <row r="88" ht="32" customHeight="1">
      <c r="A88" s="14" t="n">
        <v>74</v>
      </c>
      <c r="B88" s="15" t="inlineStr">
        <is>
          <t>Quản Lý Hợp Đồng</t>
        </is>
      </c>
      <c r="C88" s="16" t="inlineStr">
        <is>
          <t>Đính kèm file hợp đồng</t>
        </is>
      </c>
      <c r="D88" s="17" t="inlineStr">
        <is>
          <t>Upload bản hợp đồng scan, hóa đơn và tài liệu liên quan</t>
        </is>
      </c>
      <c r="E88" s="11" t="inlineStr">
        <is>
          <t>✅ Hoàn thiện</t>
        </is>
      </c>
      <c r="F88" s="18" t="inlineStr">
        <is>
          <t>CONTRACT_UPDATE</t>
        </is>
      </c>
      <c r="G88" s="19" t="inlineStr"/>
    </row>
    <row r="89" ht="24" customHeight="1">
      <c r="A89" s="28" t="inlineStr">
        <is>
          <t xml:space="preserve">  10. Yêu Cầu Vật Tư (Material Request)</t>
        </is>
      </c>
    </row>
    <row r="90" ht="32" customHeight="1">
      <c r="A90" s="14" t="n">
        <v>75</v>
      </c>
      <c r="B90" s="15" t="inlineStr">
        <is>
          <t>Yêu Cầu Vật Tư</t>
        </is>
      </c>
      <c r="C90" s="16" t="inlineStr">
        <is>
          <t>Tạo yêu cầu vật tư</t>
        </is>
      </c>
      <c r="D90" s="17" t="inlineStr">
        <is>
          <t>Nhân viên tạo yêu cầu mua vật tư / thiết bị cho dự án/task</t>
        </is>
      </c>
      <c r="E90" s="11" t="inlineStr">
        <is>
          <t>✅ Hoàn thiện</t>
        </is>
      </c>
      <c r="F90" s="18" t="inlineStr">
        <is>
          <t>MATERIAL_REQUEST_CREATE</t>
        </is>
      </c>
      <c r="G90" s="19" t="inlineStr"/>
    </row>
    <row r="91" ht="32" customHeight="1">
      <c r="A91" s="7" t="n">
        <v>76</v>
      </c>
      <c r="B91" s="8" t="inlineStr">
        <is>
          <t>Yêu Cầu Vật Tư</t>
        </is>
      </c>
      <c r="C91" s="9" t="inlineStr">
        <is>
          <t>Danh sách yêu cầu vật tư</t>
        </is>
      </c>
      <c r="D91" s="10" t="inlineStr">
        <is>
          <t>Xem danh sách yêu cầu, lọc theo trạng thái</t>
        </is>
      </c>
      <c r="E91" s="11" t="inlineStr">
        <is>
          <t>✅ Hoàn thiện</t>
        </is>
      </c>
      <c r="F91" s="12" t="inlineStr">
        <is>
          <t>MATERIAL_REQUEST_VIEW</t>
        </is>
      </c>
      <c r="G91" s="13" t="inlineStr"/>
    </row>
    <row r="92" ht="32" customHeight="1">
      <c r="A92" s="14" t="n">
        <v>77</v>
      </c>
      <c r="B92" s="15" t="inlineStr">
        <is>
          <t>Yêu Cầu Vật Tư</t>
        </is>
      </c>
      <c r="C92" s="16" t="inlineStr">
        <is>
          <t>Xem chi tiết yêu cầu vật tư</t>
        </is>
      </c>
      <c r="D92" s="17" t="inlineStr">
        <is>
          <t>Xem chi tiết danh mục vật tư, số lượng, lý do yêu cầu</t>
        </is>
      </c>
      <c r="E92" s="11" t="inlineStr">
        <is>
          <t>✅ Hoàn thiện</t>
        </is>
      </c>
      <c r="F92" s="18" t="inlineStr">
        <is>
          <t>MATERIAL_REQUEST_VIEW</t>
        </is>
      </c>
      <c r="G92" s="19" t="inlineStr"/>
    </row>
    <row r="93" ht="32" customHeight="1">
      <c r="A93" s="7" t="n">
        <v>78</v>
      </c>
      <c r="B93" s="8" t="inlineStr">
        <is>
          <t>Yêu Cầu Vật Tư</t>
        </is>
      </c>
      <c r="C93" s="9" t="inlineStr">
        <is>
          <t>Quy trình duyệt 2 bước</t>
        </is>
      </c>
      <c r="D93" s="10" t="inlineStr">
        <is>
          <t>Trưởng nhóm review → Quản lý phê duyệt / từ chối</t>
        </is>
      </c>
      <c r="E93" s="11" t="inlineStr">
        <is>
          <t>✅ Hoàn thiện</t>
        </is>
      </c>
      <c r="F93" s="12" t="inlineStr">
        <is>
          <t>MATERIAL_REQUEST_APPROVE</t>
        </is>
      </c>
      <c r="G93" s="13" t="inlineStr"/>
    </row>
    <row r="94" ht="32" customHeight="1">
      <c r="A94" s="14" t="n">
        <v>79</v>
      </c>
      <c r="B94" s="15" t="inlineStr">
        <is>
          <t>Yêu Cầu Vật Tư</t>
        </is>
      </c>
      <c r="C94" s="16" t="inlineStr">
        <is>
          <t>Upload đính kèm tài liệu</t>
        </is>
      </c>
      <c r="D94" s="17" t="inlineStr">
        <is>
          <t>Đính kèm hình ảnh, hóa đơn, báo giá vật tư vào yêu cầu</t>
        </is>
      </c>
      <c r="E94" s="11" t="inlineStr">
        <is>
          <t>✅ Hoàn thiện</t>
        </is>
      </c>
      <c r="F94" s="18" t="inlineStr">
        <is>
          <t>MATERIAL_REQUEST_CREATE</t>
        </is>
      </c>
      <c r="G94" s="19" t="inlineStr"/>
    </row>
    <row r="95" ht="32" customHeight="1">
      <c r="A95" s="7" t="n">
        <v>80</v>
      </c>
      <c r="B95" s="8" t="inlineStr">
        <is>
          <t>Yêu Cầu Vật Tư</t>
        </is>
      </c>
      <c r="C95" s="9" t="inlineStr">
        <is>
          <t>Liên kết yêu cầu vật tư với Task</t>
        </is>
      </c>
      <c r="D95" s="10" t="inlineStr">
        <is>
          <t>Yêu cầu vật tư được gắn trực tiếp vào task thực hiện</t>
        </is>
      </c>
      <c r="E95" s="11" t="inlineStr">
        <is>
          <t>✅ Hoàn thiện</t>
        </is>
      </c>
      <c r="F95" s="12" t="inlineStr">
        <is>
          <t>TASK_UPDATE</t>
        </is>
      </c>
      <c r="G95" s="13" t="inlineStr"/>
    </row>
    <row r="96" ht="24" customHeight="1">
      <c r="A96" s="25" t="inlineStr">
        <is>
          <t xml:space="preserve">  11. Chat Nội Bộ (Realtime)</t>
        </is>
      </c>
    </row>
    <row r="97" ht="32" customHeight="1">
      <c r="A97" s="7" t="n">
        <v>81</v>
      </c>
      <c r="B97" s="8" t="inlineStr">
        <is>
          <t>Chat Nội Bộ</t>
        </is>
      </c>
      <c r="C97" s="9" t="inlineStr">
        <is>
          <t>Tạo phòng chat (Room)</t>
        </is>
      </c>
      <c r="D97" s="10" t="inlineStr">
        <is>
          <t>Tạo phòng chat nhóm hoặc trực tiếp giữa người dùng</t>
        </is>
      </c>
      <c r="E97" s="11" t="inlineStr">
        <is>
          <t>✅ Hoàn thiện</t>
        </is>
      </c>
      <c r="F97" s="12" t="inlineStr">
        <is>
          <t>Tất cả người dùng</t>
        </is>
      </c>
      <c r="G97" s="13" t="inlineStr"/>
    </row>
    <row r="98" ht="32" customHeight="1">
      <c r="A98" s="14" t="n">
        <v>82</v>
      </c>
      <c r="B98" s="15" t="inlineStr">
        <is>
          <t>Chat Nội Bộ</t>
        </is>
      </c>
      <c r="C98" s="16" t="inlineStr">
        <is>
          <t>Quản lý thành viên phòng chat</t>
        </is>
      </c>
      <c r="D98" s="17" t="inlineStr">
        <is>
          <t>Thêm / xoá thành viên trong phòng chat</t>
        </is>
      </c>
      <c r="E98" s="11" t="inlineStr">
        <is>
          <t>✅ Hoàn thiện</t>
        </is>
      </c>
      <c r="F98" s="18" t="inlineStr">
        <is>
          <t>Room Owner</t>
        </is>
      </c>
      <c r="G98" s="19" t="inlineStr"/>
    </row>
    <row r="99" ht="32" customHeight="1">
      <c r="A99" s="7" t="n">
        <v>83</v>
      </c>
      <c r="B99" s="8" t="inlineStr">
        <is>
          <t>Chat Nội Bộ</t>
        </is>
      </c>
      <c r="C99" s="9" t="inlineStr">
        <is>
          <t>Nhắn tin realtime (WebSocket)</t>
        </is>
      </c>
      <c r="D99" s="10" t="inlineStr">
        <is>
          <t>Nhắn tin tức thì qua WebSocket, không cần reload trang</t>
        </is>
      </c>
      <c r="E99" s="11" t="inlineStr">
        <is>
          <t>✅ Hoàn thiện</t>
        </is>
      </c>
      <c r="F99" s="12" t="inlineStr">
        <is>
          <t>Thành viên phòng chat</t>
        </is>
      </c>
      <c r="G99" s="13" t="inlineStr"/>
    </row>
    <row r="100" ht="32" customHeight="1">
      <c r="A100" s="14" t="n">
        <v>84</v>
      </c>
      <c r="B100" s="15" t="inlineStr">
        <is>
          <t>Chat Nội Bộ</t>
        </is>
      </c>
      <c r="C100" s="16" t="inlineStr">
        <is>
          <t>Upload file / hình ảnh trong chat</t>
        </is>
      </c>
      <c r="D100" s="17" t="inlineStr">
        <is>
          <t>Gửi file, hình ảnh đính kèm trong tin nhắn</t>
        </is>
      </c>
      <c r="E100" s="11" t="inlineStr">
        <is>
          <t>✅ Hoàn thiện</t>
        </is>
      </c>
      <c r="F100" s="18" t="inlineStr">
        <is>
          <t>Thành viên phòng chat</t>
        </is>
      </c>
      <c r="G100" s="19" t="inlineStr"/>
    </row>
    <row r="101" ht="32" customHeight="1">
      <c r="A101" s="7" t="n">
        <v>85</v>
      </c>
      <c r="B101" s="8" t="inlineStr">
        <is>
          <t>Chat Nội Bộ</t>
        </is>
      </c>
      <c r="C101" s="9" t="inlineStr">
        <is>
          <t>Phòng chat tự động theo dự án</t>
        </is>
      </c>
      <c r="D101" s="10" t="inlineStr">
        <is>
          <t>Hệ thống tự tạo room chat khi tạo dự án mới</t>
        </is>
      </c>
      <c r="E101" s="11" t="inlineStr">
        <is>
          <t>✅ Hoàn thiện</t>
        </is>
      </c>
      <c r="F101" s="12" t="inlineStr">
        <is>
          <t>Hệ thống tự động</t>
        </is>
      </c>
      <c r="G101" s="13" t="inlineStr"/>
    </row>
    <row r="102" ht="32" customHeight="1">
      <c r="A102" s="14" t="n">
        <v>86</v>
      </c>
      <c r="B102" s="15" t="inlineStr">
        <is>
          <t>Chat Nội Bộ</t>
        </is>
      </c>
      <c r="C102" s="16" t="inlineStr">
        <is>
          <t>Lịch sử tin nhắn</t>
        </is>
      </c>
      <c r="D102" s="17" t="inlineStr">
        <is>
          <t>Xem lại toàn bộ lịch sử tin nhắn trong phòng</t>
        </is>
      </c>
      <c r="E102" s="11" t="inlineStr">
        <is>
          <t>✅ Hoàn thiện</t>
        </is>
      </c>
      <c r="F102" s="18" t="inlineStr">
        <is>
          <t>Thành viên phòng chat</t>
        </is>
      </c>
      <c r="G102" s="19" t="inlineStr"/>
    </row>
    <row r="103" ht="24" customHeight="1">
      <c r="A103" s="22" t="inlineStr">
        <is>
          <t xml:space="preserve">  12. Thông Báo (Notification)</t>
        </is>
      </c>
    </row>
    <row r="104" ht="32" customHeight="1">
      <c r="A104" s="14" t="n">
        <v>87</v>
      </c>
      <c r="B104" s="15" t="inlineStr">
        <is>
          <t>Thông Báo</t>
        </is>
      </c>
      <c r="C104" s="16" t="inlineStr">
        <is>
          <t>Thông báo trong ứng dụng (In-App)</t>
        </is>
      </c>
      <c r="D104" s="17" t="inlineStr">
        <is>
          <t>Nhận thông báo tức thì về các sự kiện liên quan</t>
        </is>
      </c>
      <c r="E104" s="11" t="inlineStr">
        <is>
          <t>✅ Hoàn thiện</t>
        </is>
      </c>
      <c r="F104" s="18" t="inlineStr">
        <is>
          <t>Tất cả người dùng</t>
        </is>
      </c>
      <c r="G104" s="19" t="inlineStr"/>
    </row>
    <row r="105" ht="32" customHeight="1">
      <c r="A105" s="7" t="n">
        <v>88</v>
      </c>
      <c r="B105" s="8" t="inlineStr">
        <is>
          <t>Thông Báo</t>
        </is>
      </c>
      <c r="C105" s="9" t="inlineStr">
        <is>
          <t>Đếm thông báo chưa đọc</t>
        </is>
      </c>
      <c r="D105" s="10" t="inlineStr">
        <is>
          <t>Hiển thị số lượng thông báo chưa đọc trên icon</t>
        </is>
      </c>
      <c r="E105" s="11" t="inlineStr">
        <is>
          <t>✅ Hoàn thiện</t>
        </is>
      </c>
      <c r="F105" s="12" t="inlineStr">
        <is>
          <t>Tất cả người dùng</t>
        </is>
      </c>
      <c r="G105" s="13" t="inlineStr"/>
    </row>
    <row r="106" ht="32" customHeight="1">
      <c r="A106" s="14" t="n">
        <v>89</v>
      </c>
      <c r="B106" s="15" t="inlineStr">
        <is>
          <t>Thông Báo</t>
        </is>
      </c>
      <c r="C106" s="16" t="inlineStr">
        <is>
          <t>Đánh dấu đã đọc / Xoá thông báo</t>
        </is>
      </c>
      <c r="D106" s="17" t="inlineStr">
        <is>
          <t>Đánh dấu 1 hoặc tất cả thông báo là đã đọc, xoá thông báo</t>
        </is>
      </c>
      <c r="E106" s="11" t="inlineStr">
        <is>
          <t>✅ Hoàn thiện</t>
        </is>
      </c>
      <c r="F106" s="18" t="inlineStr">
        <is>
          <t>Tất cả người dùng</t>
        </is>
      </c>
      <c r="G106" s="19" t="inlineStr"/>
    </row>
    <row r="107" ht="32" customHeight="1">
      <c r="A107" s="7" t="n">
        <v>90</v>
      </c>
      <c r="B107" s="8" t="inlineStr">
        <is>
          <t>Thông Báo</t>
        </is>
      </c>
      <c r="C107" s="9" t="inlineStr">
        <is>
          <t>Push Notification (Web Push)</t>
        </is>
      </c>
      <c r="D107" s="10" t="inlineStr">
        <is>
          <t>Gửi thông báo đẩy ngay cả khi trình duyệt không mở</t>
        </is>
      </c>
      <c r="E107" s="11" t="inlineStr">
        <is>
          <t>✅ Hoàn thiện</t>
        </is>
      </c>
      <c r="F107" s="12" t="inlineStr">
        <is>
          <t>Tất cả người dùng</t>
        </is>
      </c>
      <c r="G107" s="13" t="inlineStr"/>
    </row>
    <row r="108" ht="32" customHeight="1">
      <c r="A108" s="14" t="n">
        <v>91</v>
      </c>
      <c r="B108" s="15" t="inlineStr">
        <is>
          <t>Thông Báo</t>
        </is>
      </c>
      <c r="C108" s="16" t="inlineStr">
        <is>
          <t>Thông báo qua Zalo Bot</t>
        </is>
      </c>
      <c r="D108" s="17" t="inlineStr">
        <is>
          <t>Gửi thông báo quan trọng qua Zalo notification bot</t>
        </is>
      </c>
      <c r="E108" s="11" t="inlineStr">
        <is>
          <t>✅ Hoàn thiện</t>
        </is>
      </c>
      <c r="F108" s="18" t="inlineStr">
        <is>
          <t>Hệ thống tự động</t>
        </is>
      </c>
      <c r="G108" s="19" t="inlineStr"/>
    </row>
    <row r="109" ht="24" customHeight="1">
      <c r="A109" s="20" t="inlineStr">
        <is>
          <t xml:space="preserve">  13. Dashboard &amp; Báo Cáo</t>
        </is>
      </c>
    </row>
    <row r="110" ht="32" customHeight="1">
      <c r="A110" s="14" t="n">
        <v>92</v>
      </c>
      <c r="B110" s="15" t="inlineStr">
        <is>
          <t>Dashboard &amp; Báo Cáo</t>
        </is>
      </c>
      <c r="C110" s="16" t="inlineStr">
        <is>
          <t>Dashboard KPI tổng quan</t>
        </is>
      </c>
      <c r="D110" s="17" t="inlineStr">
        <is>
          <t>Tổng quan số liệu: dự án, task, nhân sự, tiến độ</t>
        </is>
      </c>
      <c r="E110" s="11" t="inlineStr">
        <is>
          <t>✅ Hoàn thiện</t>
        </is>
      </c>
      <c r="F110" s="18" t="inlineStr">
        <is>
          <t>REPORT_VIEW_ALL / VIEW_TEAM</t>
        </is>
      </c>
      <c r="G110" s="19" t="inlineStr"/>
    </row>
    <row r="111" ht="32" customHeight="1">
      <c r="A111" s="7" t="n">
        <v>93</v>
      </c>
      <c r="B111" s="8" t="inlineStr">
        <is>
          <t>Dashboard &amp; Báo Cáo</t>
        </is>
      </c>
      <c r="C111" s="9" t="inlineStr">
        <is>
          <t>Báo cáo theo dự án</t>
        </is>
      </c>
      <c r="D111" s="10" t="inlineStr">
        <is>
          <t>Chi tiết tiến độ, nhân sự, công việc theo từng dự án</t>
        </is>
      </c>
      <c r="E111" s="11" t="inlineStr">
        <is>
          <t>✅ Hoàn thiện</t>
        </is>
      </c>
      <c r="F111" s="12" t="inlineStr">
        <is>
          <t>REPORT_VIEW_ALL / VIEW_TEAM</t>
        </is>
      </c>
      <c r="G111" s="13" t="inlineStr"/>
    </row>
    <row r="112" ht="32" customHeight="1">
      <c r="A112" s="14" t="n">
        <v>94</v>
      </c>
      <c r="B112" s="15" t="inlineStr">
        <is>
          <t>Dashboard &amp; Báo Cáo</t>
        </is>
      </c>
      <c r="C112" s="16" t="inlineStr">
        <is>
          <t>Dashboard nhân sự</t>
        </is>
      </c>
      <c r="D112" s="17" t="inlineStr">
        <is>
          <t>Tổng quan task và tiến độ theo từng nhân viên</t>
        </is>
      </c>
      <c r="E112" s="11" t="inlineStr">
        <is>
          <t>✅ Hoàn thiện</t>
        </is>
      </c>
      <c r="F112" s="18" t="inlineStr">
        <is>
          <t>REPORT_VIEW_ALL / VIEW_TEAM</t>
        </is>
      </c>
      <c r="G112" s="19" t="inlineStr"/>
    </row>
    <row r="113" ht="32" customHeight="1">
      <c r="A113" s="7" t="n">
        <v>95</v>
      </c>
      <c r="B113" s="8" t="inlineStr">
        <is>
          <t>Dashboard &amp; Báo Cáo</t>
        </is>
      </c>
      <c r="C113" s="9" t="inlineStr">
        <is>
          <t>Báo cáo tổng hợp (Reports)</t>
        </is>
      </c>
      <c r="D113" s="10" t="inlineStr">
        <is>
          <t>Báo cáo tổng hợp toàn công ty theo nhiều chiều phân tích</t>
        </is>
      </c>
      <c r="E113" s="11" t="inlineStr">
        <is>
          <t>✅ Hoàn thiện</t>
        </is>
      </c>
      <c r="F113" s="12" t="inlineStr">
        <is>
          <t>REPORT_VIEW_ALL</t>
        </is>
      </c>
      <c r="G113" s="13" t="inlineStr"/>
    </row>
    <row r="114" ht="24" customHeight="1">
      <c r="A114" s="21" t="inlineStr">
        <is>
          <t xml:space="preserve">  14. Quản Trị Hệ Thống (Admin)</t>
        </is>
      </c>
    </row>
    <row r="115" ht="32" customHeight="1">
      <c r="A115" s="7" t="n">
        <v>96</v>
      </c>
      <c r="B115" s="8" t="inlineStr">
        <is>
          <t>Quản Trị Hệ Thống</t>
        </is>
      </c>
      <c r="C115" s="9" t="inlineStr">
        <is>
          <t>Quản lý người dùng toàn hệ thống</t>
        </is>
      </c>
      <c r="D115" s="10" t="inlineStr">
        <is>
          <t>Superuser: xem, tạo, sửa, kích hoạt / vô hiệu hoá user</t>
        </is>
      </c>
      <c r="E115" s="11" t="inlineStr">
        <is>
          <t>✅ Hoàn thiện</t>
        </is>
      </c>
      <c r="F115" s="12" t="inlineStr">
        <is>
          <t>Superuser</t>
        </is>
      </c>
      <c r="G115" s="13" t="inlineStr"/>
    </row>
    <row r="116" ht="32" customHeight="1">
      <c r="A116" s="14" t="n">
        <v>97</v>
      </c>
      <c r="B116" s="15" t="inlineStr">
        <is>
          <t>Quản Trị Hệ Thống</t>
        </is>
      </c>
      <c r="C116" s="16" t="inlineStr">
        <is>
          <t>Cài đặt hệ thống (Settings)</t>
        </is>
      </c>
      <c r="D116" s="17" t="inlineStr">
        <is>
          <t>Cấu hình thông tin công ty, email, giao diện</t>
        </is>
      </c>
      <c r="E116" s="11" t="inlineStr">
        <is>
          <t>✅ Hoàn thiện</t>
        </is>
      </c>
      <c r="F116" s="18" t="inlineStr">
        <is>
          <t>Admin / Superuser</t>
        </is>
      </c>
      <c r="G116" s="19" t="inlineStr"/>
    </row>
    <row r="117" ht="32" customHeight="1">
      <c r="A117" s="7" t="n">
        <v>98</v>
      </c>
      <c r="B117" s="8" t="inlineStr">
        <is>
          <t>Quản Trị Hệ Thống</t>
        </is>
      </c>
      <c r="C117" s="9" t="inlineStr">
        <is>
          <t>Quản lý nhiều công ty (Multi-tenant)</t>
        </is>
      </c>
      <c r="D117" s="10" t="inlineStr">
        <is>
          <t>Superuser quản lý và vận hành nhiều công ty khác nhau</t>
        </is>
      </c>
      <c r="E117" s="11" t="inlineStr">
        <is>
          <t>✅ Hoàn thiện</t>
        </is>
      </c>
      <c r="F117" s="12" t="inlineStr">
        <is>
          <t>Superuser</t>
        </is>
      </c>
      <c r="G117" s="13" t="inlineStr"/>
    </row>
    <row r="118" ht="32" customHeight="1">
      <c r="A118" s="14" t="n">
        <v>99</v>
      </c>
      <c r="B118" s="15" t="inlineStr">
        <is>
          <t>Quản Trị Hệ Thống</t>
        </is>
      </c>
      <c r="C118" s="16" t="inlineStr">
        <is>
          <t>Backup &amp; Restore dữ liệu</t>
        </is>
      </c>
      <c r="D118" s="17" t="inlineStr">
        <is>
          <t>Tự động backup DB, cho phép restore theo thời điểm</t>
        </is>
      </c>
      <c r="E118" s="11" t="inlineStr">
        <is>
          <t>✅ Hoàn thiện</t>
        </is>
      </c>
      <c r="F118" s="18" t="inlineStr">
        <is>
          <t>Superuser / DevOps</t>
        </is>
      </c>
      <c r="G118" s="19" t="inlineStr"/>
    </row>
    <row r="119" ht="32" customHeight="1">
      <c r="A119" s="7" t="n">
        <v>100</v>
      </c>
      <c r="B119" s="8" t="inlineStr">
        <is>
          <t>Quản Trị Hệ Thống</t>
        </is>
      </c>
      <c r="C119" s="9" t="inlineStr">
        <is>
          <t>Triển khai Docker (Self-hosted)</t>
        </is>
      </c>
      <c r="D119" s="10" t="inlineStr">
        <is>
          <t>Hệ thống đóng gói bằng Docker Compose, dễ triển khai</t>
        </is>
      </c>
      <c r="E119" s="11" t="inlineStr">
        <is>
          <t>✅ Hoàn thiện</t>
        </is>
      </c>
      <c r="F119" s="12" t="inlineStr">
        <is>
          <t>DevOps</t>
        </is>
      </c>
      <c r="G119" s="13" t="inlineStr"/>
    </row>
  </sheetData>
  <mergeCells count="17">
    <mergeCell ref="A89:G89"/>
    <mergeCell ref="A1:G1"/>
    <mergeCell ref="A18:G18"/>
    <mergeCell ref="A31:G31"/>
    <mergeCell ref="A6:G6"/>
    <mergeCell ref="A53:G53"/>
    <mergeCell ref="A77:G77"/>
    <mergeCell ref="A12:G12"/>
    <mergeCell ref="A4:G4"/>
    <mergeCell ref="A109:G109"/>
    <mergeCell ref="A114:G114"/>
    <mergeCell ref="A24:G24"/>
    <mergeCell ref="A2:G2"/>
    <mergeCell ref="A72:G72"/>
    <mergeCell ref="A96:G96"/>
    <mergeCell ref="A49:G49"/>
    <mergeCell ref="A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18" customWidth="1" min="8" max="8"/>
  </cols>
  <sheetData>
    <row r="1" ht="32" customHeight="1">
      <c r="A1" s="29" t="inlineStr">
        <is>
          <t>PHÂN QUYỀN CHI TIẾT — SAREE ERP SYSTEM</t>
        </is>
      </c>
    </row>
    <row r="2" ht="20" customHeight="1">
      <c r="A2" s="30" t="inlineStr">
        <is>
          <t>Bảng ma trận quyền hạn theo module — ✅ Có quyền   ✗ Không có quyền   ⚙️ Theo cấu hình</t>
        </is>
      </c>
    </row>
    <row r="3" ht="8" customHeight="1"/>
    <row r="4" ht="30" customHeight="1">
      <c r="A4" s="5" t="inlineStr">
        <is>
          <t>#</t>
        </is>
      </c>
      <c r="B4" s="5" t="inlineStr">
        <is>
          <t>Module / Tính năng</t>
        </is>
      </c>
      <c r="C4" s="5" t="inlineStr">
        <is>
          <t>Permission Code</t>
        </is>
      </c>
      <c r="D4" s="5" t="inlineStr">
        <is>
          <t>Superuser</t>
        </is>
      </c>
      <c r="E4" s="5" t="inlineStr">
        <is>
          <t>Director/Giám đốc</t>
        </is>
      </c>
      <c r="F4" s="5" t="inlineStr">
        <is>
          <t>Manager/Quản lý</t>
        </is>
      </c>
      <c r="G4" s="5" t="inlineStr">
        <is>
          <t>Employee/NV</t>
        </is>
      </c>
      <c r="H4" s="5" t="inlineStr">
        <is>
          <t>Ghi chú</t>
        </is>
      </c>
    </row>
    <row r="5" ht="22" customHeight="1">
      <c r="A5" s="31" t="n">
        <v>1</v>
      </c>
      <c r="B5" s="31" t="inlineStr">
        <is>
          <t>Đăng nhập / Đăng xuất</t>
        </is>
      </c>
      <c r="C5" s="32" t="inlineStr">
        <is>
          <t>AUTH (JWT)</t>
        </is>
      </c>
      <c r="D5" s="33" t="inlineStr">
        <is>
          <t>✅</t>
        </is>
      </c>
      <c r="E5" s="33" t="inlineStr">
        <is>
          <t>✅</t>
        </is>
      </c>
      <c r="F5" s="33" t="inlineStr">
        <is>
          <t>✅</t>
        </is>
      </c>
      <c r="G5" s="33" t="inlineStr">
        <is>
          <t>✅</t>
        </is>
      </c>
      <c r="H5" s="31" t="inlineStr">
        <is>
          <t>Tất cả user</t>
        </is>
      </c>
    </row>
    <row r="6" ht="22" customHeight="1">
      <c r="A6" s="17" t="n">
        <v>2</v>
      </c>
      <c r="B6" s="17" t="inlineStr">
        <is>
          <t>Đổi mật khẩu / Profile</t>
        </is>
      </c>
      <c r="C6" s="34" t="inlineStr">
        <is>
          <t>Tự động</t>
        </is>
      </c>
      <c r="D6" s="35" t="inlineStr">
        <is>
          <t>✅</t>
        </is>
      </c>
      <c r="E6" s="35" t="inlineStr">
        <is>
          <t>✅</t>
        </is>
      </c>
      <c r="F6" s="35" t="inlineStr">
        <is>
          <t>✅</t>
        </is>
      </c>
      <c r="G6" s="35" t="inlineStr">
        <is>
          <t>✅</t>
        </is>
      </c>
      <c r="H6" s="17" t="inlineStr"/>
    </row>
    <row r="7" ht="22" customHeight="1">
      <c r="A7" s="31" t="n">
        <v>3</v>
      </c>
      <c r="B7" s="31" t="inlineStr">
        <is>
          <t>Tạo / Sửa Company</t>
        </is>
      </c>
      <c r="C7" s="32" t="inlineStr">
        <is>
          <t>SUPERUSER</t>
        </is>
      </c>
      <c r="D7" s="33" t="inlineStr">
        <is>
          <t>✅</t>
        </is>
      </c>
      <c r="E7" s="36" t="inlineStr">
        <is>
          <t>✗</t>
        </is>
      </c>
      <c r="F7" s="36" t="inlineStr">
        <is>
          <t>✗</t>
        </is>
      </c>
      <c r="G7" s="36" t="inlineStr">
        <is>
          <t>✗</t>
        </is>
      </c>
      <c r="H7" s="31" t="inlineStr">
        <is>
          <t>Multi-tenant admin</t>
        </is>
      </c>
    </row>
    <row r="8" ht="22" customHeight="1">
      <c r="A8" s="17" t="n">
        <v>4</v>
      </c>
      <c r="B8" s="17" t="inlineStr">
        <is>
          <t>Quản lý thành viên công ty</t>
        </is>
      </c>
      <c r="C8" s="34" t="inlineStr">
        <is>
          <t>COMPANY_MANAGE</t>
        </is>
      </c>
      <c r="D8" s="35" t="inlineStr">
        <is>
          <t>✅</t>
        </is>
      </c>
      <c r="E8" s="35" t="inlineStr">
        <is>
          <t>✅</t>
        </is>
      </c>
      <c r="F8" s="37" t="inlineStr">
        <is>
          <t>⚙️</t>
        </is>
      </c>
      <c r="G8" s="38" t="inlineStr">
        <is>
          <t>✗</t>
        </is>
      </c>
      <c r="H8" s="17" t="inlineStr">
        <is>
          <t>Auto cho Director</t>
        </is>
      </c>
    </row>
    <row r="9" ht="22" customHeight="1">
      <c r="A9" s="31" t="n">
        <v>5</v>
      </c>
      <c r="B9" s="31" t="inlineStr">
        <is>
          <t>Quản lý phòng ban</t>
        </is>
      </c>
      <c r="C9" s="32" t="inlineStr">
        <is>
          <t>COMPANY_MANAGE</t>
        </is>
      </c>
      <c r="D9" s="33" t="inlineStr">
        <is>
          <t>✅</t>
        </is>
      </c>
      <c r="E9" s="33" t="inlineStr">
        <is>
          <t>✅</t>
        </is>
      </c>
      <c r="F9" s="39" t="inlineStr">
        <is>
          <t>⚙️</t>
        </is>
      </c>
      <c r="G9" s="36" t="inlineStr">
        <is>
          <t>✗</t>
        </is>
      </c>
      <c r="H9" s="31" t="inlineStr"/>
    </row>
    <row r="10" ht="22" customHeight="1">
      <c r="A10" s="17" t="n">
        <v>6</v>
      </c>
      <c r="B10" s="17" t="inlineStr">
        <is>
          <t>Xem sơ đồ tổ chức</t>
        </is>
      </c>
      <c r="C10" s="34" t="inlineStr">
        <is>
          <t>Tự động</t>
        </is>
      </c>
      <c r="D10" s="35" t="inlineStr">
        <is>
          <t>✅</t>
        </is>
      </c>
      <c r="E10" s="35" t="inlineStr">
        <is>
          <t>✅</t>
        </is>
      </c>
      <c r="F10" s="35" t="inlineStr">
        <is>
          <t>✅</t>
        </is>
      </c>
      <c r="G10" s="35" t="inlineStr">
        <is>
          <t>✅</t>
        </is>
      </c>
      <c r="H10" s="17" t="inlineStr"/>
    </row>
    <row r="11" ht="22" customHeight="1">
      <c r="A11" s="31" t="n">
        <v>7</v>
      </c>
      <c r="B11" s="31" t="inlineStr">
        <is>
          <t>Tạo / Xoá vai trò (Role)</t>
        </is>
      </c>
      <c r="C11" s="32" t="inlineStr">
        <is>
          <t>SUPERUSER / Director</t>
        </is>
      </c>
      <c r="D11" s="33" t="inlineStr">
        <is>
          <t>✅</t>
        </is>
      </c>
      <c r="E11" s="33" t="inlineStr">
        <is>
          <t>✅</t>
        </is>
      </c>
      <c r="F11" s="36" t="inlineStr">
        <is>
          <t>✗</t>
        </is>
      </c>
      <c r="G11" s="36" t="inlineStr">
        <is>
          <t>✗</t>
        </is>
      </c>
      <c r="H11" s="31" t="inlineStr"/>
    </row>
    <row r="12" ht="22" customHeight="1">
      <c r="A12" s="17" t="n">
        <v>8</v>
      </c>
      <c r="B12" s="17" t="inlineStr">
        <is>
          <t>Gán quyền cho vai trò</t>
        </is>
      </c>
      <c r="C12" s="34" t="inlineStr">
        <is>
          <t>SUPERUSER / Director</t>
        </is>
      </c>
      <c r="D12" s="35" t="inlineStr">
        <is>
          <t>✅</t>
        </is>
      </c>
      <c r="E12" s="35" t="inlineStr">
        <is>
          <t>✅</t>
        </is>
      </c>
      <c r="F12" s="38" t="inlineStr">
        <is>
          <t>✗</t>
        </is>
      </c>
      <c r="G12" s="38" t="inlineStr">
        <is>
          <t>✗</t>
        </is>
      </c>
      <c r="H12" s="17" t="inlineStr"/>
    </row>
    <row r="13" ht="22" customHeight="1">
      <c r="A13" s="31" t="n">
        <v>9</v>
      </c>
      <c r="B13" s="31" t="inlineStr">
        <is>
          <t>Tạo dự án mới</t>
        </is>
      </c>
      <c r="C13" s="32" t="inlineStr">
        <is>
          <t>PROJECT_CREATE</t>
        </is>
      </c>
      <c r="D13" s="33" t="inlineStr">
        <is>
          <t>✅</t>
        </is>
      </c>
      <c r="E13" s="33" t="inlineStr">
        <is>
          <t>✅</t>
        </is>
      </c>
      <c r="F13" s="39" t="inlineStr">
        <is>
          <t>⚙️</t>
        </is>
      </c>
      <c r="G13" s="36" t="inlineStr">
        <is>
          <t>✗</t>
        </is>
      </c>
      <c r="H13" s="31" t="inlineStr"/>
    </row>
    <row r="14" ht="22" customHeight="1">
      <c r="A14" s="17" t="n">
        <v>10</v>
      </c>
      <c r="B14" s="17" t="inlineStr">
        <is>
          <t>Sửa / Xoá dự án</t>
        </is>
      </c>
      <c r="C14" s="34" t="inlineStr">
        <is>
          <t>PROJECT_UPDATE</t>
        </is>
      </c>
      <c r="D14" s="35" t="inlineStr">
        <is>
          <t>✅</t>
        </is>
      </c>
      <c r="E14" s="35" t="inlineStr">
        <is>
          <t>✅</t>
        </is>
      </c>
      <c r="F14" s="37" t="inlineStr">
        <is>
          <t>⚙️</t>
        </is>
      </c>
      <c r="G14" s="38" t="inlineStr">
        <is>
          <t>✗</t>
        </is>
      </c>
      <c r="H14" s="17" t="inlineStr"/>
    </row>
    <row r="15" ht="22" customHeight="1">
      <c r="A15" s="31" t="n">
        <v>11</v>
      </c>
      <c r="B15" s="31" t="inlineStr">
        <is>
          <t>Quản lý thành viên dự án</t>
        </is>
      </c>
      <c r="C15" s="32" t="inlineStr">
        <is>
          <t>PROJECT_UPDATE</t>
        </is>
      </c>
      <c r="D15" s="33" t="inlineStr">
        <is>
          <t>✅</t>
        </is>
      </c>
      <c r="E15" s="33" t="inlineStr">
        <is>
          <t>✅</t>
        </is>
      </c>
      <c r="F15" s="39" t="inlineStr">
        <is>
          <t>⚙️</t>
        </is>
      </c>
      <c r="G15" s="36" t="inlineStr">
        <is>
          <t>✗</t>
        </is>
      </c>
      <c r="H15" s="31" t="inlineStr"/>
    </row>
    <row r="16" ht="22" customHeight="1">
      <c r="A16" s="17" t="n">
        <v>12</v>
      </c>
      <c r="B16" s="17" t="inlineStr">
        <is>
          <t>Xem dự án</t>
        </is>
      </c>
      <c r="C16" s="34" t="inlineStr">
        <is>
          <t>Thành viên dự án</t>
        </is>
      </c>
      <c r="D16" s="35" t="inlineStr">
        <is>
          <t>✅</t>
        </is>
      </c>
      <c r="E16" s="35" t="inlineStr">
        <is>
          <t>✅</t>
        </is>
      </c>
      <c r="F16" s="35" t="inlineStr">
        <is>
          <t>✅</t>
        </is>
      </c>
      <c r="G16" s="35" t="inlineStr">
        <is>
          <t>✅</t>
        </is>
      </c>
      <c r="H16" s="17" t="inlineStr">
        <is>
          <t>Chỉ dự án liên quan</t>
        </is>
      </c>
    </row>
    <row r="17" ht="22" customHeight="1">
      <c r="A17" s="31" t="n">
        <v>13</v>
      </c>
      <c r="B17" s="31" t="inlineStr">
        <is>
          <t>Tạo task</t>
        </is>
      </c>
      <c r="C17" s="32" t="inlineStr">
        <is>
          <t>TASK_CREATE</t>
        </is>
      </c>
      <c r="D17" s="33" t="inlineStr">
        <is>
          <t>✅</t>
        </is>
      </c>
      <c r="E17" s="33" t="inlineStr">
        <is>
          <t>✅</t>
        </is>
      </c>
      <c r="F17" s="39" t="inlineStr">
        <is>
          <t>⚙️</t>
        </is>
      </c>
      <c r="G17" s="39" t="inlineStr">
        <is>
          <t>⚙️</t>
        </is>
      </c>
      <c r="H17" s="31" t="inlineStr"/>
    </row>
    <row r="18" ht="22" customHeight="1">
      <c r="A18" s="17" t="n">
        <v>14</v>
      </c>
      <c r="B18" s="17" t="inlineStr">
        <is>
          <t>Sửa task</t>
        </is>
      </c>
      <c r="C18" s="34" t="inlineStr">
        <is>
          <t>TASK_UPDATE</t>
        </is>
      </c>
      <c r="D18" s="35" t="inlineStr">
        <is>
          <t>✅</t>
        </is>
      </c>
      <c r="E18" s="35" t="inlineStr">
        <is>
          <t>✅</t>
        </is>
      </c>
      <c r="F18" s="37" t="inlineStr">
        <is>
          <t>⚙️</t>
        </is>
      </c>
      <c r="G18" s="37" t="inlineStr">
        <is>
          <t>⚙️</t>
        </is>
      </c>
      <c r="H18" s="17" t="inlineStr"/>
    </row>
    <row r="19" ht="22" customHeight="1">
      <c r="A19" s="31" t="n">
        <v>15</v>
      </c>
      <c r="B19" s="31" t="inlineStr">
        <is>
          <t>Xoá task</t>
        </is>
      </c>
      <c r="C19" s="32" t="inlineStr">
        <is>
          <t>TASK_DELETE</t>
        </is>
      </c>
      <c r="D19" s="33" t="inlineStr">
        <is>
          <t>✅</t>
        </is>
      </c>
      <c r="E19" s="33" t="inlineStr">
        <is>
          <t>✅</t>
        </is>
      </c>
      <c r="F19" s="39" t="inlineStr">
        <is>
          <t>⚙️</t>
        </is>
      </c>
      <c r="G19" s="36" t="inlineStr">
        <is>
          <t>✗</t>
        </is>
      </c>
      <c r="H19" s="31" t="inlineStr"/>
    </row>
    <row r="20" ht="22" customHeight="1">
      <c r="A20" s="17" t="n">
        <v>16</v>
      </c>
      <c r="B20" s="17" t="inlineStr">
        <is>
          <t>Cập nhật trạng thái task</t>
        </is>
      </c>
      <c r="C20" s="34" t="inlineStr">
        <is>
          <t>TASK_UPDATE_STATUS</t>
        </is>
      </c>
      <c r="D20" s="35" t="inlineStr">
        <is>
          <t>✅</t>
        </is>
      </c>
      <c r="E20" s="35" t="inlineStr">
        <is>
          <t>✅</t>
        </is>
      </c>
      <c r="F20" s="35" t="inlineStr">
        <is>
          <t>✅</t>
        </is>
      </c>
      <c r="G20" s="35" t="inlineStr">
        <is>
          <t>✅</t>
        </is>
      </c>
      <c r="H20" s="17" t="inlineStr">
        <is>
          <t>Người được giao</t>
        </is>
      </c>
    </row>
    <row r="21" ht="22" customHeight="1">
      <c r="A21" s="31" t="n">
        <v>17</v>
      </c>
      <c r="B21" s="31" t="inlineStr">
        <is>
          <t>Gán / Bỏ gán người làm task</t>
        </is>
      </c>
      <c r="C21" s="32" t="inlineStr">
        <is>
          <t>TASK_UPDATE</t>
        </is>
      </c>
      <c r="D21" s="33" t="inlineStr">
        <is>
          <t>✅</t>
        </is>
      </c>
      <c r="E21" s="33" t="inlineStr">
        <is>
          <t>✅</t>
        </is>
      </c>
      <c r="F21" s="39" t="inlineStr">
        <is>
          <t>⚙️</t>
        </is>
      </c>
      <c r="G21" s="36" t="inlineStr">
        <is>
          <t>✗</t>
        </is>
      </c>
      <c r="H21" s="31" t="inlineStr"/>
    </row>
    <row r="22" ht="22" customHeight="1">
      <c r="A22" s="17" t="n">
        <v>18</v>
      </c>
      <c r="B22" s="17" t="inlineStr">
        <is>
          <t>Duyệt bằng chứng (Proof)</t>
        </is>
      </c>
      <c r="C22" s="34" t="inlineStr">
        <is>
          <t>PROOF_APPROVE</t>
        </is>
      </c>
      <c r="D22" s="35" t="inlineStr">
        <is>
          <t>✅</t>
        </is>
      </c>
      <c r="E22" s="35" t="inlineStr">
        <is>
          <t>✅</t>
        </is>
      </c>
      <c r="F22" s="37" t="inlineStr">
        <is>
          <t>⚙️</t>
        </is>
      </c>
      <c r="G22" s="38" t="inlineStr">
        <is>
          <t>✗</t>
        </is>
      </c>
      <c r="H22" s="17" t="inlineStr"/>
    </row>
    <row r="23" ht="22" customHeight="1">
      <c r="A23" s="31" t="n">
        <v>19</v>
      </c>
      <c r="B23" s="31" t="inlineStr">
        <is>
          <t>Tạo báo giá</t>
        </is>
      </c>
      <c r="C23" s="32" t="inlineStr">
        <is>
          <t>QUOTATION_CREATE</t>
        </is>
      </c>
      <c r="D23" s="33" t="inlineStr">
        <is>
          <t>✅</t>
        </is>
      </c>
      <c r="E23" s="33" t="inlineStr">
        <is>
          <t>✅</t>
        </is>
      </c>
      <c r="F23" s="39" t="inlineStr">
        <is>
          <t>⚙️</t>
        </is>
      </c>
      <c r="G23" s="36" t="inlineStr">
        <is>
          <t>✗</t>
        </is>
      </c>
      <c r="H23" s="31" t="inlineStr"/>
    </row>
    <row r="24" ht="22" customHeight="1">
      <c r="A24" s="17" t="n">
        <v>20</v>
      </c>
      <c r="B24" s="17" t="inlineStr">
        <is>
          <t>Xem báo giá (của mình)</t>
        </is>
      </c>
      <c r="C24" s="34" t="inlineStr">
        <is>
          <t>QUOTATION_VIEW</t>
        </is>
      </c>
      <c r="D24" s="35" t="inlineStr">
        <is>
          <t>✅</t>
        </is>
      </c>
      <c r="E24" s="35" t="inlineStr">
        <is>
          <t>✅</t>
        </is>
      </c>
      <c r="F24" s="37" t="inlineStr">
        <is>
          <t>⚙️</t>
        </is>
      </c>
      <c r="G24" s="37" t="inlineStr">
        <is>
          <t>⚙️</t>
        </is>
      </c>
      <c r="H24" s="17" t="inlineStr"/>
    </row>
    <row r="25" ht="22" customHeight="1">
      <c r="A25" s="31" t="n">
        <v>21</v>
      </c>
      <c r="B25" s="31" t="inlineStr">
        <is>
          <t>Xem tất cả báo giá</t>
        </is>
      </c>
      <c r="C25" s="32" t="inlineStr">
        <is>
          <t>QUOTATION_VIEW_ALL</t>
        </is>
      </c>
      <c r="D25" s="33" t="inlineStr">
        <is>
          <t>✅</t>
        </is>
      </c>
      <c r="E25" s="33" t="inlineStr">
        <is>
          <t>✅</t>
        </is>
      </c>
      <c r="F25" s="39" t="inlineStr">
        <is>
          <t>⚙️</t>
        </is>
      </c>
      <c r="G25" s="36" t="inlineStr">
        <is>
          <t>✗</t>
        </is>
      </c>
      <c r="H25" s="31" t="inlineStr"/>
    </row>
    <row r="26" ht="22" customHeight="1">
      <c r="A26" s="17" t="n">
        <v>22</v>
      </c>
      <c r="B26" s="17" t="inlineStr">
        <is>
          <t>Sửa báo giá</t>
        </is>
      </c>
      <c r="C26" s="34" t="inlineStr">
        <is>
          <t>QUOTATION_UPDATE</t>
        </is>
      </c>
      <c r="D26" s="35" t="inlineStr">
        <is>
          <t>✅</t>
        </is>
      </c>
      <c r="E26" s="35" t="inlineStr">
        <is>
          <t>✅</t>
        </is>
      </c>
      <c r="F26" s="37" t="inlineStr">
        <is>
          <t>⚙️</t>
        </is>
      </c>
      <c r="G26" s="38" t="inlineStr">
        <is>
          <t>✗</t>
        </is>
      </c>
      <c r="H26" s="17" t="inlineStr"/>
    </row>
    <row r="27" ht="22" customHeight="1">
      <c r="A27" s="31" t="n">
        <v>23</v>
      </c>
      <c r="B27" s="31" t="inlineStr">
        <is>
          <t>Xoá báo giá</t>
        </is>
      </c>
      <c r="C27" s="32" t="inlineStr">
        <is>
          <t>QUOTATION_DELETE</t>
        </is>
      </c>
      <c r="D27" s="33" t="inlineStr">
        <is>
          <t>✅</t>
        </is>
      </c>
      <c r="E27" s="33" t="inlineStr">
        <is>
          <t>✅</t>
        </is>
      </c>
      <c r="F27" s="36" t="inlineStr">
        <is>
          <t>✗</t>
        </is>
      </c>
      <c r="G27" s="36" t="inlineStr">
        <is>
          <t>✗</t>
        </is>
      </c>
      <c r="H27" s="31" t="inlineStr"/>
    </row>
    <row r="28" ht="22" customHeight="1">
      <c r="A28" s="17" t="n">
        <v>24</v>
      </c>
      <c r="B28" s="17" t="inlineStr">
        <is>
          <t>Duyệt khảo sát báo giá</t>
        </is>
      </c>
      <c r="C28" s="34" t="inlineStr">
        <is>
          <t>QUOTATION_APPROVE_SURVEY</t>
        </is>
      </c>
      <c r="D28" s="35" t="inlineStr">
        <is>
          <t>✅</t>
        </is>
      </c>
      <c r="E28" s="35" t="inlineStr">
        <is>
          <t>✅</t>
        </is>
      </c>
      <c r="F28" s="37" t="inlineStr">
        <is>
          <t>⚙️</t>
        </is>
      </c>
      <c r="G28" s="38" t="inlineStr">
        <is>
          <t>✗</t>
        </is>
      </c>
      <c r="H28" s="17" t="inlineStr"/>
    </row>
    <row r="29" ht="22" customHeight="1">
      <c r="A29" s="31" t="n">
        <v>25</v>
      </c>
      <c r="B29" s="31" t="inlineStr">
        <is>
          <t>Duyệt thiết kế báo giá</t>
        </is>
      </c>
      <c r="C29" s="32" t="inlineStr">
        <is>
          <t>QUOTATION_APPROVE_DESIGN</t>
        </is>
      </c>
      <c r="D29" s="33" t="inlineStr">
        <is>
          <t>✅</t>
        </is>
      </c>
      <c r="E29" s="33" t="inlineStr">
        <is>
          <t>✅</t>
        </is>
      </c>
      <c r="F29" s="39" t="inlineStr">
        <is>
          <t>⚙️</t>
        </is>
      </c>
      <c r="G29" s="36" t="inlineStr">
        <is>
          <t>✗</t>
        </is>
      </c>
      <c r="H29" s="31" t="inlineStr"/>
    </row>
    <row r="30" ht="22" customHeight="1">
      <c r="A30" s="17" t="n">
        <v>26</v>
      </c>
      <c r="B30" s="17" t="inlineStr">
        <is>
          <t>Duyệt cuối báo giá</t>
        </is>
      </c>
      <c r="C30" s="34" t="inlineStr">
        <is>
          <t>QUOTATION_APPROVE_FINAL</t>
        </is>
      </c>
      <c r="D30" s="35" t="inlineStr">
        <is>
          <t>✅</t>
        </is>
      </c>
      <c r="E30" s="35" t="inlineStr">
        <is>
          <t>✅</t>
        </is>
      </c>
      <c r="F30" s="37" t="inlineStr">
        <is>
          <t>⚙️</t>
        </is>
      </c>
      <c r="G30" s="38" t="inlineStr">
        <is>
          <t>✗</t>
        </is>
      </c>
      <c r="H30" s="17" t="inlineStr"/>
    </row>
    <row r="31" ht="22" customHeight="1">
      <c r="A31" s="31" t="n">
        <v>27</v>
      </c>
      <c r="B31" s="31" t="inlineStr">
        <is>
          <t>Duyệt đàm phán</t>
        </is>
      </c>
      <c r="C31" s="32" t="inlineStr">
        <is>
          <t>QUOTATION_APPROVE_NEGOTIATION</t>
        </is>
      </c>
      <c r="D31" s="33" t="inlineStr">
        <is>
          <t>✅</t>
        </is>
      </c>
      <c r="E31" s="33" t="inlineStr">
        <is>
          <t>✅</t>
        </is>
      </c>
      <c r="F31" s="39" t="inlineStr">
        <is>
          <t>⚙️</t>
        </is>
      </c>
      <c r="G31" s="36" t="inlineStr">
        <is>
          <t>✗</t>
        </is>
      </c>
      <c r="H31" s="31" t="inlineStr"/>
    </row>
    <row r="32" ht="22" customHeight="1">
      <c r="A32" s="17" t="n">
        <v>28</v>
      </c>
      <c r="B32" s="17" t="inlineStr">
        <is>
          <t>Tạo hợp đồng</t>
        </is>
      </c>
      <c r="C32" s="34" t="inlineStr">
        <is>
          <t>CONTRACT_CREATE</t>
        </is>
      </c>
      <c r="D32" s="35" t="inlineStr">
        <is>
          <t>✅</t>
        </is>
      </c>
      <c r="E32" s="35" t="inlineStr">
        <is>
          <t>✅</t>
        </is>
      </c>
      <c r="F32" s="37" t="inlineStr">
        <is>
          <t>⚙️</t>
        </is>
      </c>
      <c r="G32" s="38" t="inlineStr">
        <is>
          <t>✗</t>
        </is>
      </c>
      <c r="H32" s="17" t="inlineStr"/>
    </row>
    <row r="33" ht="22" customHeight="1">
      <c r="A33" s="31" t="n">
        <v>29</v>
      </c>
      <c r="B33" s="31" t="inlineStr">
        <is>
          <t>Xem hợp đồng (của mình)</t>
        </is>
      </c>
      <c r="C33" s="32" t="inlineStr">
        <is>
          <t>CONTRACT_VIEW</t>
        </is>
      </c>
      <c r="D33" s="33" t="inlineStr">
        <is>
          <t>✅</t>
        </is>
      </c>
      <c r="E33" s="33" t="inlineStr">
        <is>
          <t>✅</t>
        </is>
      </c>
      <c r="F33" s="39" t="inlineStr">
        <is>
          <t>⚙️</t>
        </is>
      </c>
      <c r="G33" s="39" t="inlineStr">
        <is>
          <t>⚙️</t>
        </is>
      </c>
      <c r="H33" s="31" t="inlineStr"/>
    </row>
    <row r="34" ht="22" customHeight="1">
      <c r="A34" s="17" t="n">
        <v>30</v>
      </c>
      <c r="B34" s="17" t="inlineStr">
        <is>
          <t>Xem tất cả hợp đồng</t>
        </is>
      </c>
      <c r="C34" s="34" t="inlineStr">
        <is>
          <t>CONTRACT_VIEW_ALL</t>
        </is>
      </c>
      <c r="D34" s="35" t="inlineStr">
        <is>
          <t>✅</t>
        </is>
      </c>
      <c r="E34" s="35" t="inlineStr">
        <is>
          <t>✅</t>
        </is>
      </c>
      <c r="F34" s="37" t="inlineStr">
        <is>
          <t>⚙️</t>
        </is>
      </c>
      <c r="G34" s="38" t="inlineStr">
        <is>
          <t>✗</t>
        </is>
      </c>
      <c r="H34" s="17" t="inlineStr"/>
    </row>
    <row r="35" ht="22" customHeight="1">
      <c r="A35" s="31" t="n">
        <v>31</v>
      </c>
      <c r="B35" s="31" t="inlineStr">
        <is>
          <t>Sửa hợp đồng</t>
        </is>
      </c>
      <c r="C35" s="32" t="inlineStr">
        <is>
          <t>CONTRACT_UPDATE</t>
        </is>
      </c>
      <c r="D35" s="33" t="inlineStr">
        <is>
          <t>✅</t>
        </is>
      </c>
      <c r="E35" s="33" t="inlineStr">
        <is>
          <t>✅</t>
        </is>
      </c>
      <c r="F35" s="39" t="inlineStr">
        <is>
          <t>⚙️</t>
        </is>
      </c>
      <c r="G35" s="36" t="inlineStr">
        <is>
          <t>✗</t>
        </is>
      </c>
      <c r="H35" s="31" t="inlineStr"/>
    </row>
    <row r="36" ht="22" customHeight="1">
      <c r="A36" s="17" t="n">
        <v>32</v>
      </c>
      <c r="B36" s="17" t="inlineStr">
        <is>
          <t>Xoá hợp đồng</t>
        </is>
      </c>
      <c r="C36" s="34" t="inlineStr">
        <is>
          <t>CONTRACT_DELETE</t>
        </is>
      </c>
      <c r="D36" s="35" t="inlineStr">
        <is>
          <t>✅</t>
        </is>
      </c>
      <c r="E36" s="35" t="inlineStr">
        <is>
          <t>✅</t>
        </is>
      </c>
      <c r="F36" s="38" t="inlineStr">
        <is>
          <t>✗</t>
        </is>
      </c>
      <c r="G36" s="38" t="inlineStr">
        <is>
          <t>✗</t>
        </is>
      </c>
      <c r="H36" s="17" t="inlineStr"/>
    </row>
    <row r="37" ht="22" customHeight="1">
      <c r="A37" s="31" t="n">
        <v>33</v>
      </c>
      <c r="B37" s="31" t="inlineStr">
        <is>
          <t>Duyệt / Ký hợp đồng</t>
        </is>
      </c>
      <c r="C37" s="32" t="inlineStr">
        <is>
          <t>CONTRACT_APPROVE</t>
        </is>
      </c>
      <c r="D37" s="33" t="inlineStr">
        <is>
          <t>✅</t>
        </is>
      </c>
      <c r="E37" s="33" t="inlineStr">
        <is>
          <t>✅</t>
        </is>
      </c>
      <c r="F37" s="39" t="inlineStr">
        <is>
          <t>⚙️</t>
        </is>
      </c>
      <c r="G37" s="36" t="inlineStr">
        <is>
          <t>✗</t>
        </is>
      </c>
      <c r="H37" s="31" t="inlineStr"/>
    </row>
    <row r="38" ht="22" customHeight="1">
      <c r="A38" s="17" t="n">
        <v>34</v>
      </c>
      <c r="B38" s="17" t="inlineStr">
        <is>
          <t>Tạo yêu cầu vật tư</t>
        </is>
      </c>
      <c r="C38" s="34" t="inlineStr">
        <is>
          <t>MATERIAL_REQUEST_CREATE</t>
        </is>
      </c>
      <c r="D38" s="35" t="inlineStr">
        <is>
          <t>✅</t>
        </is>
      </c>
      <c r="E38" s="35" t="inlineStr">
        <is>
          <t>✅</t>
        </is>
      </c>
      <c r="F38" s="35" t="inlineStr">
        <is>
          <t>✅</t>
        </is>
      </c>
      <c r="G38" s="35" t="inlineStr">
        <is>
          <t>✅</t>
        </is>
      </c>
      <c r="H38" s="17" t="inlineStr"/>
    </row>
    <row r="39" ht="22" customHeight="1">
      <c r="A39" s="31" t="n">
        <v>35</v>
      </c>
      <c r="B39" s="31" t="inlineStr">
        <is>
          <t>Xem yêu cầu vật tư</t>
        </is>
      </c>
      <c r="C39" s="32" t="inlineStr">
        <is>
          <t>MATERIAL_REQUEST_VIEW</t>
        </is>
      </c>
      <c r="D39" s="33" t="inlineStr">
        <is>
          <t>✅</t>
        </is>
      </c>
      <c r="E39" s="33" t="inlineStr">
        <is>
          <t>✅</t>
        </is>
      </c>
      <c r="F39" s="33" t="inlineStr">
        <is>
          <t>✅</t>
        </is>
      </c>
      <c r="G39" s="39" t="inlineStr">
        <is>
          <t>⚙️</t>
        </is>
      </c>
      <c r="H39" s="31" t="inlineStr"/>
    </row>
    <row r="40" ht="22" customHeight="1">
      <c r="A40" s="17" t="n">
        <v>36</v>
      </c>
      <c r="B40" s="17" t="inlineStr">
        <is>
          <t>Duyệt yêu cầu vật tư</t>
        </is>
      </c>
      <c r="C40" s="34" t="inlineStr">
        <is>
          <t>MATERIAL_REQUEST_APPROVE</t>
        </is>
      </c>
      <c r="D40" s="35" t="inlineStr">
        <is>
          <t>✅</t>
        </is>
      </c>
      <c r="E40" s="35" t="inlineStr">
        <is>
          <t>✅</t>
        </is>
      </c>
      <c r="F40" s="37" t="inlineStr">
        <is>
          <t>⚙️</t>
        </is>
      </c>
      <c r="G40" s="38" t="inlineStr">
        <is>
          <t>✗</t>
        </is>
      </c>
      <c r="H40" s="17" t="inlineStr"/>
    </row>
    <row r="41" ht="22" customHeight="1">
      <c r="A41" s="31" t="n">
        <v>37</v>
      </c>
      <c r="B41" s="31" t="inlineStr">
        <is>
          <t>Nhắn tin / Chat</t>
        </is>
      </c>
      <c r="C41" s="32" t="inlineStr">
        <is>
          <t>Thành viên phòng chat</t>
        </is>
      </c>
      <c r="D41" s="33" t="inlineStr">
        <is>
          <t>✅</t>
        </is>
      </c>
      <c r="E41" s="33" t="inlineStr">
        <is>
          <t>✅</t>
        </is>
      </c>
      <c r="F41" s="33" t="inlineStr">
        <is>
          <t>✅</t>
        </is>
      </c>
      <c r="G41" s="33" t="inlineStr">
        <is>
          <t>✅</t>
        </is>
      </c>
      <c r="H41" s="31" t="inlineStr"/>
    </row>
    <row r="42" ht="22" customHeight="1">
      <c r="A42" s="17" t="n">
        <v>38</v>
      </c>
      <c r="B42" s="17" t="inlineStr">
        <is>
          <t>Xem Dashboard / Báo cáo đội</t>
        </is>
      </c>
      <c r="C42" s="34" t="inlineStr">
        <is>
          <t>REPORT_VIEW_TEAM</t>
        </is>
      </c>
      <c r="D42" s="35" t="inlineStr">
        <is>
          <t>✅</t>
        </is>
      </c>
      <c r="E42" s="35" t="inlineStr">
        <is>
          <t>✅</t>
        </is>
      </c>
      <c r="F42" s="35" t="inlineStr">
        <is>
          <t>✅</t>
        </is>
      </c>
      <c r="G42" s="38" t="inlineStr">
        <is>
          <t>✗</t>
        </is>
      </c>
      <c r="H42" s="17" t="inlineStr"/>
    </row>
    <row r="43" ht="22" customHeight="1">
      <c r="A43" s="31" t="n">
        <v>39</v>
      </c>
      <c r="B43" s="31" t="inlineStr">
        <is>
          <t>Xem báo cáo toàn công ty</t>
        </is>
      </c>
      <c r="C43" s="32" t="inlineStr">
        <is>
          <t>REPORT_VIEW_ALL</t>
        </is>
      </c>
      <c r="D43" s="33" t="inlineStr">
        <is>
          <t>✅</t>
        </is>
      </c>
      <c r="E43" s="33" t="inlineStr">
        <is>
          <t>✅</t>
        </is>
      </c>
      <c r="F43" s="36" t="inlineStr">
        <is>
          <t>✗</t>
        </is>
      </c>
      <c r="G43" s="36" t="inlineStr">
        <is>
          <t>✗</t>
        </is>
      </c>
      <c r="H43" s="31" t="inlineStr"/>
    </row>
    <row r="44" ht="22" customHeight="1">
      <c r="A44" s="17" t="n">
        <v>40</v>
      </c>
      <c r="B44" s="17" t="inlineStr">
        <is>
          <t>Quản trị hệ thống</t>
        </is>
      </c>
      <c r="C44" s="34" t="inlineStr">
        <is>
          <t>SUPERUSER</t>
        </is>
      </c>
      <c r="D44" s="35" t="inlineStr">
        <is>
          <t>✅</t>
        </is>
      </c>
      <c r="E44" s="38" t="inlineStr">
        <is>
          <t>✗</t>
        </is>
      </c>
      <c r="F44" s="38" t="inlineStr">
        <is>
          <t>✗</t>
        </is>
      </c>
      <c r="G44" s="38" t="inlineStr">
        <is>
          <t>✗</t>
        </is>
      </c>
      <c r="H44" s="17" t="inlineStr">
        <is>
          <t>Superuser only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5" customWidth="1" min="3" max="3"/>
    <col width="18" customWidth="1" min="4" max="4"/>
    <col width="18" customWidth="1" min="5" max="5"/>
    <col width="18" customWidth="1" min="6" max="6"/>
    <col width="15" customWidth="1" min="7" max="7"/>
    <col width="25" customWidth="1" min="8" max="8"/>
  </cols>
  <sheetData>
    <row r="1" ht="32" customHeight="1">
      <c r="A1" s="29" t="inlineStr">
        <is>
          <t>TRACKING TRẠNG THÁI PHÁT TRIỂN — SAREE ERP SYSTEM</t>
        </is>
      </c>
    </row>
    <row r="2" ht="20" customHeight="1">
      <c r="A2" s="30" t="inlineStr">
        <is>
          <t>Theo dõi tiến độ phát triển, test và triển khai từng tính năng</t>
        </is>
      </c>
    </row>
    <row r="3" ht="8" customHeight="1"/>
    <row r="4" ht="30" customHeight="1">
      <c r="A4" s="5" t="inlineStr">
        <is>
          <t>#</t>
        </is>
      </c>
      <c r="B4" s="5" t="inlineStr">
        <is>
          <t>Module</t>
        </is>
      </c>
      <c r="C4" s="5" t="inlineStr">
        <is>
          <t>Tính năng</t>
        </is>
      </c>
      <c r="D4" s="5" t="inlineStr">
        <is>
          <t>Dev Status</t>
        </is>
      </c>
      <c r="E4" s="5" t="inlineStr">
        <is>
          <t>Test Status</t>
        </is>
      </c>
      <c r="F4" s="5" t="inlineStr">
        <is>
          <t>UAT Status</t>
        </is>
      </c>
      <c r="G4" s="5" t="inlineStr">
        <is>
          <t>Ngày Go-Live</t>
        </is>
      </c>
      <c r="H4" s="5" t="inlineStr">
        <is>
          <t>Ghi chú / Người phụ trách</t>
        </is>
      </c>
    </row>
    <row r="5" ht="22" customHeight="1">
      <c r="A5" s="40" t="n">
        <v>1</v>
      </c>
      <c r="B5" s="41" t="inlineStr">
        <is>
          <t>Xác Thực &amp; Tài Khoản</t>
        </is>
      </c>
      <c r="C5" s="41" t="inlineStr">
        <is>
          <t>Đăng nhập / Đăng xuất</t>
        </is>
      </c>
      <c r="D5" s="42" t="inlineStr">
        <is>
          <t>✅ Done</t>
        </is>
      </c>
      <c r="E5" s="42" t="inlineStr">
        <is>
          <t>✅ Passed</t>
        </is>
      </c>
      <c r="F5" s="42" t="inlineStr">
        <is>
          <t>✅ Accepted</t>
        </is>
      </c>
      <c r="G5" s="40" t="inlineStr">
        <is>
          <t>2025-01</t>
        </is>
      </c>
      <c r="H5" s="41" t="inlineStr"/>
    </row>
    <row r="6" ht="22" customHeight="1">
      <c r="A6" s="43" t="n">
        <v>2</v>
      </c>
      <c r="B6" s="17" t="inlineStr">
        <is>
          <t>Xác Thực &amp; Tài Khoản</t>
        </is>
      </c>
      <c r="C6" s="17" t="inlineStr">
        <is>
          <t>Quên mật khẩu / Khôi phục</t>
        </is>
      </c>
      <c r="D6" s="42" t="inlineStr">
        <is>
          <t>✅ Done</t>
        </is>
      </c>
      <c r="E6" s="42" t="inlineStr">
        <is>
          <t>✅ Passed</t>
        </is>
      </c>
      <c r="F6" s="42" t="inlineStr">
        <is>
          <t>✅ Accepted</t>
        </is>
      </c>
      <c r="G6" s="43" t="inlineStr">
        <is>
          <t>2025-01</t>
        </is>
      </c>
      <c r="H6" s="17" t="inlineStr"/>
    </row>
    <row r="7" ht="22" customHeight="1">
      <c r="A7" s="40" t="n">
        <v>3</v>
      </c>
      <c r="B7" s="41" t="inlineStr">
        <is>
          <t>Xác Thực &amp; Tài Khoản</t>
        </is>
      </c>
      <c r="C7" s="41" t="inlineStr">
        <is>
          <t>Cập nhật profile</t>
        </is>
      </c>
      <c r="D7" s="42" t="inlineStr">
        <is>
          <t>✅ Done</t>
        </is>
      </c>
      <c r="E7" s="42" t="inlineStr">
        <is>
          <t>✅ Passed</t>
        </is>
      </c>
      <c r="F7" s="42" t="inlineStr">
        <is>
          <t>✅ Accepted</t>
        </is>
      </c>
      <c r="G7" s="40" t="inlineStr">
        <is>
          <t>2025-01</t>
        </is>
      </c>
      <c r="H7" s="41" t="inlineStr"/>
    </row>
    <row r="8" ht="22" customHeight="1">
      <c r="A8" s="43" t="n">
        <v>4</v>
      </c>
      <c r="B8" s="17" t="inlineStr">
        <is>
          <t>Quản Lý Công Ty &amp; Tổ Chức</t>
        </is>
      </c>
      <c r="C8" s="17" t="inlineStr">
        <is>
          <t>Tạo / Sửa / Xoá công ty</t>
        </is>
      </c>
      <c r="D8" s="42" t="inlineStr">
        <is>
          <t>✅ Done</t>
        </is>
      </c>
      <c r="E8" s="42" t="inlineStr">
        <is>
          <t>✅ Passed</t>
        </is>
      </c>
      <c r="F8" s="42" t="inlineStr">
        <is>
          <t>✅ Accepted</t>
        </is>
      </c>
      <c r="G8" s="43" t="inlineStr">
        <is>
          <t>2025-02</t>
        </is>
      </c>
      <c r="H8" s="17" t="inlineStr"/>
    </row>
    <row r="9" ht="22" customHeight="1">
      <c r="A9" s="40" t="n">
        <v>5</v>
      </c>
      <c r="B9" s="41" t="inlineStr">
        <is>
          <t>Quản Lý Công Ty &amp; Tổ Chức</t>
        </is>
      </c>
      <c r="C9" s="41" t="inlineStr">
        <is>
          <t>Quản lý phòng ban (Dept)</t>
        </is>
      </c>
      <c r="D9" s="42" t="inlineStr">
        <is>
          <t>✅ Done</t>
        </is>
      </c>
      <c r="E9" s="42" t="inlineStr">
        <is>
          <t>✅ Passed</t>
        </is>
      </c>
      <c r="F9" s="42" t="inlineStr">
        <is>
          <t>✅ Accepted</t>
        </is>
      </c>
      <c r="G9" s="40" t="inlineStr">
        <is>
          <t>2025-02</t>
        </is>
      </c>
      <c r="H9" s="41" t="inlineStr"/>
    </row>
    <row r="10" ht="22" customHeight="1">
      <c r="A10" s="43" t="n">
        <v>6</v>
      </c>
      <c r="B10" s="17" t="inlineStr">
        <is>
          <t>Quản Lý Công Ty &amp; Tổ Chức</t>
        </is>
      </c>
      <c r="C10" s="17" t="inlineStr">
        <is>
          <t>Sơ đồ tổ chức</t>
        </is>
      </c>
      <c r="D10" s="42" t="inlineStr">
        <is>
          <t>✅ Done</t>
        </is>
      </c>
      <c r="E10" s="42" t="inlineStr">
        <is>
          <t>✅ Passed</t>
        </is>
      </c>
      <c r="F10" s="42" t="inlineStr">
        <is>
          <t>✅ Accepted</t>
        </is>
      </c>
      <c r="G10" s="43" t="inlineStr">
        <is>
          <t>2025-02</t>
        </is>
      </c>
      <c r="H10" s="17" t="inlineStr"/>
    </row>
    <row r="11" ht="22" customHeight="1">
      <c r="A11" s="40" t="n">
        <v>7</v>
      </c>
      <c r="B11" s="41" t="inlineStr">
        <is>
          <t>Phân Quyền (RBAC)</t>
        </is>
      </c>
      <c r="C11" s="41" t="inlineStr">
        <is>
          <t>Quản lý Role &amp; Permission</t>
        </is>
      </c>
      <c r="D11" s="42" t="inlineStr">
        <is>
          <t>✅ Done</t>
        </is>
      </c>
      <c r="E11" s="42" t="inlineStr">
        <is>
          <t>✅ Passed</t>
        </is>
      </c>
      <c r="F11" s="42" t="inlineStr">
        <is>
          <t>✅ Accepted</t>
        </is>
      </c>
      <c r="G11" s="40" t="inlineStr">
        <is>
          <t>2025-02</t>
        </is>
      </c>
      <c r="H11" s="41" t="inlineStr"/>
    </row>
    <row r="12" ht="22" customHeight="1">
      <c r="A12" s="43" t="n">
        <v>8</v>
      </c>
      <c r="B12" s="17" t="inlineStr">
        <is>
          <t>Phân Quyền (RBAC)</t>
        </is>
      </c>
      <c r="C12" s="17" t="inlineStr">
        <is>
          <t>Phân quyền theo dự án</t>
        </is>
      </c>
      <c r="D12" s="42" t="inlineStr">
        <is>
          <t>✅ Done</t>
        </is>
      </c>
      <c r="E12" s="42" t="inlineStr">
        <is>
          <t>✅ Passed</t>
        </is>
      </c>
      <c r="F12" s="42" t="inlineStr">
        <is>
          <t>✅ Accepted</t>
        </is>
      </c>
      <c r="G12" s="43" t="inlineStr">
        <is>
          <t>2025-02</t>
        </is>
      </c>
      <c r="H12" s="17" t="inlineStr"/>
    </row>
    <row r="13" ht="22" customHeight="1">
      <c r="A13" s="40" t="n">
        <v>9</v>
      </c>
      <c r="B13" s="41" t="inlineStr">
        <is>
          <t>Quản Lý Dự Án</t>
        </is>
      </c>
      <c r="C13" s="41" t="inlineStr">
        <is>
          <t>CRUD Dự án</t>
        </is>
      </c>
      <c r="D13" s="42" t="inlineStr">
        <is>
          <t>✅ Done</t>
        </is>
      </c>
      <c r="E13" s="42" t="inlineStr">
        <is>
          <t>✅ Passed</t>
        </is>
      </c>
      <c r="F13" s="42" t="inlineStr">
        <is>
          <t>✅ Accepted</t>
        </is>
      </c>
      <c r="G13" s="40" t="inlineStr">
        <is>
          <t>2025-03</t>
        </is>
      </c>
      <c r="H13" s="41" t="inlineStr"/>
    </row>
    <row r="14" ht="22" customHeight="1">
      <c r="A14" s="43" t="n">
        <v>10</v>
      </c>
      <c r="B14" s="17" t="inlineStr">
        <is>
          <t>Quản Lý Dự Án</t>
        </is>
      </c>
      <c r="C14" s="17" t="inlineStr">
        <is>
          <t>Quản lý thành viên dự án</t>
        </is>
      </c>
      <c r="D14" s="42" t="inlineStr">
        <is>
          <t>✅ Done</t>
        </is>
      </c>
      <c r="E14" s="42" t="inlineStr">
        <is>
          <t>✅ Passed</t>
        </is>
      </c>
      <c r="F14" s="42" t="inlineStr">
        <is>
          <t>✅ Accepted</t>
        </is>
      </c>
      <c r="G14" s="43" t="inlineStr">
        <is>
          <t>2025-03</t>
        </is>
      </c>
      <c r="H14" s="17" t="inlineStr"/>
    </row>
    <row r="15" ht="22" customHeight="1">
      <c r="A15" s="40" t="n">
        <v>11</v>
      </c>
      <c r="B15" s="41" t="inlineStr">
        <is>
          <t>Quản Lý Dự Án</t>
        </is>
      </c>
      <c r="C15" s="41" t="inlineStr">
        <is>
          <t>Cấu hình Task Level</t>
        </is>
      </c>
      <c r="D15" s="42" t="inlineStr">
        <is>
          <t>✅ Done</t>
        </is>
      </c>
      <c r="E15" s="42" t="inlineStr">
        <is>
          <t>✅ Passed</t>
        </is>
      </c>
      <c r="F15" s="42" t="inlineStr">
        <is>
          <t>✅ Accepted</t>
        </is>
      </c>
      <c r="G15" s="40" t="inlineStr">
        <is>
          <t>2025-03</t>
        </is>
      </c>
      <c r="H15" s="41" t="inlineStr"/>
    </row>
    <row r="16" ht="22" customHeight="1">
      <c r="A16" s="43" t="n">
        <v>12</v>
      </c>
      <c r="B16" s="17" t="inlineStr">
        <is>
          <t>Quản Lý Dự Án</t>
        </is>
      </c>
      <c r="C16" s="17" t="inlineStr">
        <is>
          <t>Cảnh báo trễ tiến độ</t>
        </is>
      </c>
      <c r="D16" s="42" t="inlineStr">
        <is>
          <t>✅ Done</t>
        </is>
      </c>
      <c r="E16" s="42" t="inlineStr">
        <is>
          <t>✅ Passed</t>
        </is>
      </c>
      <c r="F16" s="42" t="inlineStr">
        <is>
          <t>✅ Accepted</t>
        </is>
      </c>
      <c r="G16" s="43" t="inlineStr">
        <is>
          <t>2025-03</t>
        </is>
      </c>
      <c r="H16" s="17" t="inlineStr"/>
    </row>
    <row r="17" ht="22" customHeight="1">
      <c r="A17" s="40" t="n">
        <v>13</v>
      </c>
      <c r="B17" s="41" t="inlineStr">
        <is>
          <t>Quản Lý Task</t>
        </is>
      </c>
      <c r="C17" s="41" t="inlineStr">
        <is>
          <t>CRUD Task (đa cấp)</t>
        </is>
      </c>
      <c r="D17" s="42" t="inlineStr">
        <is>
          <t>✅ Done</t>
        </is>
      </c>
      <c r="E17" s="42" t="inlineStr">
        <is>
          <t>✅ Passed</t>
        </is>
      </c>
      <c r="F17" s="42" t="inlineStr">
        <is>
          <t>✅ Accepted</t>
        </is>
      </c>
      <c r="G17" s="40" t="inlineStr">
        <is>
          <t>2025-04</t>
        </is>
      </c>
      <c r="H17" s="41" t="inlineStr"/>
    </row>
    <row r="18" ht="22" customHeight="1">
      <c r="A18" s="43" t="n">
        <v>14</v>
      </c>
      <c r="B18" s="17" t="inlineStr">
        <is>
          <t>Quản Lý Task</t>
        </is>
      </c>
      <c r="C18" s="17" t="inlineStr">
        <is>
          <t>Gán Assignee / Observer</t>
        </is>
      </c>
      <c r="D18" s="42" t="inlineStr">
        <is>
          <t>✅ Done</t>
        </is>
      </c>
      <c r="E18" s="42" t="inlineStr">
        <is>
          <t>✅ Passed</t>
        </is>
      </c>
      <c r="F18" s="42" t="inlineStr">
        <is>
          <t>✅ Accepted</t>
        </is>
      </c>
      <c r="G18" s="43" t="inlineStr">
        <is>
          <t>2025-04</t>
        </is>
      </c>
      <c r="H18" s="17" t="inlineStr"/>
    </row>
    <row r="19" ht="22" customHeight="1">
      <c r="A19" s="40" t="n">
        <v>15</v>
      </c>
      <c r="B19" s="41" t="inlineStr">
        <is>
          <t>Quản Lý Task</t>
        </is>
      </c>
      <c r="C19" s="41" t="inlineStr">
        <is>
          <t>Task Dependency</t>
        </is>
      </c>
      <c r="D19" s="42" t="inlineStr">
        <is>
          <t>✅ Done</t>
        </is>
      </c>
      <c r="E19" s="42" t="inlineStr">
        <is>
          <t>✅ Passed</t>
        </is>
      </c>
      <c r="F19" s="42" t="inlineStr">
        <is>
          <t>✅ Accepted</t>
        </is>
      </c>
      <c r="G19" s="40" t="inlineStr">
        <is>
          <t>2025-04</t>
        </is>
      </c>
      <c r="H19" s="41" t="inlineStr"/>
    </row>
    <row r="20" ht="22" customHeight="1">
      <c r="A20" s="43" t="n">
        <v>16</v>
      </c>
      <c r="B20" s="17" t="inlineStr">
        <is>
          <t>Quản Lý Task</t>
        </is>
      </c>
      <c r="C20" s="17" t="inlineStr">
        <is>
          <t>Báo cáo tiến độ + Ảnh</t>
        </is>
      </c>
      <c r="D20" s="42" t="inlineStr">
        <is>
          <t>✅ Done</t>
        </is>
      </c>
      <c r="E20" s="42" t="inlineStr">
        <is>
          <t>✅ Passed</t>
        </is>
      </c>
      <c r="F20" s="42" t="inlineStr">
        <is>
          <t>✅ Accepted</t>
        </is>
      </c>
      <c r="G20" s="43" t="inlineStr">
        <is>
          <t>2025-04</t>
        </is>
      </c>
      <c r="H20" s="17" t="inlineStr"/>
    </row>
    <row r="21" ht="22" customHeight="1">
      <c r="A21" s="40" t="n">
        <v>17</v>
      </c>
      <c r="B21" s="41" t="inlineStr">
        <is>
          <t>Quản Lý Task</t>
        </is>
      </c>
      <c r="C21" s="41" t="inlineStr">
        <is>
          <t>Proof &amp; Audit Log</t>
        </is>
      </c>
      <c r="D21" s="42" t="inlineStr">
        <is>
          <t>✅ Done</t>
        </is>
      </c>
      <c r="E21" s="42" t="inlineStr">
        <is>
          <t>✅ Passed</t>
        </is>
      </c>
      <c r="F21" s="42" t="inlineStr">
        <is>
          <t>✅ Accepted</t>
        </is>
      </c>
      <c r="G21" s="40" t="inlineStr">
        <is>
          <t>2025-04</t>
        </is>
      </c>
      <c r="H21" s="41" t="inlineStr"/>
    </row>
    <row r="22" ht="22" customHeight="1">
      <c r="A22" s="43" t="n">
        <v>18</v>
      </c>
      <c r="B22" s="17" t="inlineStr">
        <is>
          <t>Biểu Đồ Gantt</t>
        </is>
      </c>
      <c r="C22" s="17" t="inlineStr">
        <is>
          <t>Gantt Chart + WebSocket</t>
        </is>
      </c>
      <c r="D22" s="42" t="inlineStr">
        <is>
          <t>✅ Done</t>
        </is>
      </c>
      <c r="E22" s="42" t="inlineStr">
        <is>
          <t>✅ Passed</t>
        </is>
      </c>
      <c r="F22" s="42" t="inlineStr">
        <is>
          <t>✅ Accepted</t>
        </is>
      </c>
      <c r="G22" s="43" t="inlineStr">
        <is>
          <t>2025-04</t>
        </is>
      </c>
      <c r="H22" s="17" t="inlineStr"/>
    </row>
    <row r="23" ht="22" customHeight="1">
      <c r="A23" s="40" t="n">
        <v>19</v>
      </c>
      <c r="B23" s="41" t="inlineStr">
        <is>
          <t>Quản Lý Báo Giá</t>
        </is>
      </c>
      <c r="C23" s="41" t="inlineStr">
        <is>
          <t>CRUD Báo giá + Stage Workflow</t>
        </is>
      </c>
      <c r="D23" s="42" t="inlineStr">
        <is>
          <t>✅ Done</t>
        </is>
      </c>
      <c r="E23" s="42" t="inlineStr">
        <is>
          <t>✅ Passed</t>
        </is>
      </c>
      <c r="F23" s="42" t="inlineStr">
        <is>
          <t>✅ Accepted</t>
        </is>
      </c>
      <c r="G23" s="40" t="inlineStr">
        <is>
          <t>2025-05</t>
        </is>
      </c>
      <c r="H23" s="41" t="inlineStr"/>
    </row>
    <row r="24" ht="22" customHeight="1">
      <c r="A24" s="43" t="n">
        <v>20</v>
      </c>
      <c r="B24" s="17" t="inlineStr">
        <is>
          <t>Quản Lý Báo Giá</t>
        </is>
      </c>
      <c r="C24" s="17" t="inlineStr">
        <is>
          <t>Attachment + Version History</t>
        </is>
      </c>
      <c r="D24" s="42" t="inlineStr">
        <is>
          <t>✅ Done</t>
        </is>
      </c>
      <c r="E24" s="42" t="inlineStr">
        <is>
          <t>✅ Passed</t>
        </is>
      </c>
      <c r="F24" s="42" t="inlineStr">
        <is>
          <t>✅ Accepted</t>
        </is>
      </c>
      <c r="G24" s="43" t="inlineStr">
        <is>
          <t>2025-05</t>
        </is>
      </c>
      <c r="H24" s="17" t="inlineStr"/>
    </row>
    <row r="25" ht="22" customHeight="1">
      <c r="A25" s="40" t="n">
        <v>21</v>
      </c>
      <c r="B25" s="41" t="inlineStr">
        <is>
          <t>Quản Lý Báo Giá</t>
        </is>
      </c>
      <c r="C25" s="41" t="inlineStr">
        <is>
          <t>Negotiation Log</t>
        </is>
      </c>
      <c r="D25" s="42" t="inlineStr">
        <is>
          <t>✅ Done</t>
        </is>
      </c>
      <c r="E25" s="42" t="inlineStr">
        <is>
          <t>✅ Passed</t>
        </is>
      </c>
      <c r="F25" s="42" t="inlineStr">
        <is>
          <t>✅ Accepted</t>
        </is>
      </c>
      <c r="G25" s="40" t="inlineStr">
        <is>
          <t>2025-05</t>
        </is>
      </c>
      <c r="H25" s="41" t="inlineStr"/>
    </row>
    <row r="26" ht="22" customHeight="1">
      <c r="A26" s="43" t="n">
        <v>22</v>
      </c>
      <c r="B26" s="17" t="inlineStr">
        <is>
          <t>Báo Cáo Báo Giá</t>
        </is>
      </c>
      <c r="C26" s="17" t="inlineStr">
        <is>
          <t>Summary + Lost Analysis</t>
        </is>
      </c>
      <c r="D26" s="42" t="inlineStr">
        <is>
          <t>✅ Done</t>
        </is>
      </c>
      <c r="E26" s="42" t="inlineStr">
        <is>
          <t>✅ Passed</t>
        </is>
      </c>
      <c r="F26" s="42" t="inlineStr">
        <is>
          <t>✅ Accepted</t>
        </is>
      </c>
      <c r="G26" s="43" t="inlineStr">
        <is>
          <t>2025-05</t>
        </is>
      </c>
      <c r="H26" s="17" t="inlineStr"/>
    </row>
    <row r="27" ht="22" customHeight="1">
      <c r="A27" s="40" t="n">
        <v>23</v>
      </c>
      <c r="B27" s="41" t="inlineStr">
        <is>
          <t>Quản Lý Hợp Đồng</t>
        </is>
      </c>
      <c r="C27" s="41" t="inlineStr">
        <is>
          <t>CRUD Hợp đồng + Workflow</t>
        </is>
      </c>
      <c r="D27" s="42" t="inlineStr">
        <is>
          <t>✅ Done</t>
        </is>
      </c>
      <c r="E27" s="42" t="inlineStr">
        <is>
          <t>✅ Passed</t>
        </is>
      </c>
      <c r="F27" s="42" t="inlineStr">
        <is>
          <t>✅ Accepted</t>
        </is>
      </c>
      <c r="G27" s="40" t="inlineStr">
        <is>
          <t>2025-06</t>
        </is>
      </c>
      <c r="H27" s="41" t="inlineStr"/>
    </row>
    <row r="28" ht="22" customHeight="1">
      <c r="A28" s="43" t="n">
        <v>24</v>
      </c>
      <c r="B28" s="17" t="inlineStr">
        <is>
          <t>Quản Lý Hợp Đồng</t>
        </is>
      </c>
      <c r="C28" s="17" t="inlineStr">
        <is>
          <t>Attachment hợp đồng</t>
        </is>
      </c>
      <c r="D28" s="42" t="inlineStr">
        <is>
          <t>✅ Done</t>
        </is>
      </c>
      <c r="E28" s="42" t="inlineStr">
        <is>
          <t>✅ Passed</t>
        </is>
      </c>
      <c r="F28" s="42" t="inlineStr">
        <is>
          <t>✅ Accepted</t>
        </is>
      </c>
      <c r="G28" s="43" t="inlineStr">
        <is>
          <t>2025-06</t>
        </is>
      </c>
      <c r="H28" s="17" t="inlineStr"/>
    </row>
    <row r="29" ht="22" customHeight="1">
      <c r="A29" s="40" t="n">
        <v>25</v>
      </c>
      <c r="B29" s="41" t="inlineStr">
        <is>
          <t>Yêu Cầu Vật Tư</t>
        </is>
      </c>
      <c r="C29" s="41" t="inlineStr">
        <is>
          <t>CRUD + 2-step Approval</t>
        </is>
      </c>
      <c r="D29" s="42" t="inlineStr">
        <is>
          <t>✅ Done</t>
        </is>
      </c>
      <c r="E29" s="42" t="inlineStr">
        <is>
          <t>✅ Passed</t>
        </is>
      </c>
      <c r="F29" s="42" t="inlineStr">
        <is>
          <t>✅ Accepted</t>
        </is>
      </c>
      <c r="G29" s="40" t="inlineStr">
        <is>
          <t>2025-06</t>
        </is>
      </c>
      <c r="H29" s="41" t="inlineStr"/>
    </row>
    <row r="30" ht="22" customHeight="1">
      <c r="A30" s="43" t="n">
        <v>26</v>
      </c>
      <c r="B30" s="17" t="inlineStr">
        <is>
          <t>Chat Nội Bộ</t>
        </is>
      </c>
      <c r="C30" s="17" t="inlineStr">
        <is>
          <t>Chat Room + WebSocket</t>
        </is>
      </c>
      <c r="D30" s="42" t="inlineStr">
        <is>
          <t>✅ Done</t>
        </is>
      </c>
      <c r="E30" s="42" t="inlineStr">
        <is>
          <t>✅ Passed</t>
        </is>
      </c>
      <c r="F30" s="42" t="inlineStr">
        <is>
          <t>✅ Accepted</t>
        </is>
      </c>
      <c r="G30" s="43" t="inlineStr">
        <is>
          <t>2025-03</t>
        </is>
      </c>
      <c r="H30" s="17" t="inlineStr"/>
    </row>
    <row r="31" ht="22" customHeight="1">
      <c r="A31" s="40" t="n">
        <v>27</v>
      </c>
      <c r="B31" s="41" t="inlineStr">
        <is>
          <t>Chat Nội Bộ</t>
        </is>
      </c>
      <c r="C31" s="41" t="inlineStr">
        <is>
          <t>File Attachment trong chat</t>
        </is>
      </c>
      <c r="D31" s="42" t="inlineStr">
        <is>
          <t>✅ Done</t>
        </is>
      </c>
      <c r="E31" s="42" t="inlineStr">
        <is>
          <t>✅ Passed</t>
        </is>
      </c>
      <c r="F31" s="42" t="inlineStr">
        <is>
          <t>✅ Accepted</t>
        </is>
      </c>
      <c r="G31" s="40" t="inlineStr">
        <is>
          <t>2025-03</t>
        </is>
      </c>
      <c r="H31" s="41" t="inlineStr"/>
    </row>
    <row r="32" ht="22" customHeight="1">
      <c r="A32" s="43" t="n">
        <v>28</v>
      </c>
      <c r="B32" s="17" t="inlineStr">
        <is>
          <t>Thông Báo</t>
        </is>
      </c>
      <c r="C32" s="17" t="inlineStr">
        <is>
          <t>In-App + Push Notification</t>
        </is>
      </c>
      <c r="D32" s="42" t="inlineStr">
        <is>
          <t>✅ Done</t>
        </is>
      </c>
      <c r="E32" s="42" t="inlineStr">
        <is>
          <t>✅ Passed</t>
        </is>
      </c>
      <c r="F32" s="42" t="inlineStr">
        <is>
          <t>✅ Accepted</t>
        </is>
      </c>
      <c r="G32" s="43" t="inlineStr">
        <is>
          <t>2025-03</t>
        </is>
      </c>
      <c r="H32" s="17" t="inlineStr"/>
    </row>
    <row r="33" ht="22" customHeight="1">
      <c r="A33" s="40" t="n">
        <v>29</v>
      </c>
      <c r="B33" s="41" t="inlineStr">
        <is>
          <t>Thông Báo</t>
        </is>
      </c>
      <c r="C33" s="41" t="inlineStr">
        <is>
          <t>Zalo Bot Notification</t>
        </is>
      </c>
      <c r="D33" s="42" t="inlineStr">
        <is>
          <t>✅ Done</t>
        </is>
      </c>
      <c r="E33" s="42" t="inlineStr">
        <is>
          <t>✅ Passed</t>
        </is>
      </c>
      <c r="F33" s="42" t="inlineStr">
        <is>
          <t>✅ Accepted</t>
        </is>
      </c>
      <c r="G33" s="40" t="inlineStr">
        <is>
          <t>2025-04</t>
        </is>
      </c>
      <c r="H33" s="41" t="inlineStr"/>
    </row>
    <row r="34" ht="22" customHeight="1">
      <c r="A34" s="43" t="n">
        <v>30</v>
      </c>
      <c r="B34" s="17" t="inlineStr">
        <is>
          <t>Dashboard &amp; Báo Cáo</t>
        </is>
      </c>
      <c r="C34" s="17" t="inlineStr">
        <is>
          <t>KPI Dashboard + Reports</t>
        </is>
      </c>
      <c r="D34" s="42" t="inlineStr">
        <is>
          <t>✅ Done</t>
        </is>
      </c>
      <c r="E34" s="42" t="inlineStr">
        <is>
          <t>✅ Passed</t>
        </is>
      </c>
      <c r="F34" s="42" t="inlineStr">
        <is>
          <t>✅ Accepted</t>
        </is>
      </c>
      <c r="G34" s="43" t="inlineStr">
        <is>
          <t>2025-05</t>
        </is>
      </c>
      <c r="H34" s="17" t="inlineStr"/>
    </row>
    <row r="35" ht="22" customHeight="1">
      <c r="A35" s="40" t="n">
        <v>31</v>
      </c>
      <c r="B35" s="41" t="inlineStr">
        <is>
          <t>Quản Trị Hệ Thống</t>
        </is>
      </c>
      <c r="C35" s="41" t="inlineStr">
        <is>
          <t>Admin Panel + Multi-tenant</t>
        </is>
      </c>
      <c r="D35" s="42" t="inlineStr">
        <is>
          <t>✅ Done</t>
        </is>
      </c>
      <c r="E35" s="42" t="inlineStr">
        <is>
          <t>✅ Passed</t>
        </is>
      </c>
      <c r="F35" s="42" t="inlineStr">
        <is>
          <t>✅ Accepted</t>
        </is>
      </c>
      <c r="G35" s="40" t="inlineStr">
        <is>
          <t>2025-01</t>
        </is>
      </c>
      <c r="H35" s="41" t="inlineStr"/>
    </row>
    <row r="36" ht="22" customHeight="1">
      <c r="A36" s="43" t="n">
        <v>32</v>
      </c>
      <c r="B36" s="17" t="inlineStr">
        <is>
          <t>Quản Trị Hệ Thống</t>
        </is>
      </c>
      <c r="C36" s="17" t="inlineStr">
        <is>
          <t>Docker Deployment</t>
        </is>
      </c>
      <c r="D36" s="42" t="inlineStr">
        <is>
          <t>✅ Done</t>
        </is>
      </c>
      <c r="E36" s="42" t="inlineStr">
        <is>
          <t>✅ Passed</t>
        </is>
      </c>
      <c r="F36" s="42" t="inlineStr">
        <is>
          <t>✅ Accepted</t>
        </is>
      </c>
      <c r="G36" s="43" t="inlineStr">
        <is>
          <t>2025-01</t>
        </is>
      </c>
      <c r="H36" s="17" t="inlineStr"/>
    </row>
    <row r="38" ht="12" customHeight="1"/>
    <row r="39" ht="24" customHeight="1">
      <c r="A39" s="44" t="inlineStr">
        <is>
          <t>TỔNG KẾT</t>
        </is>
      </c>
    </row>
    <row r="40" ht="22" customHeight="1">
      <c r="A40" s="45" t="inlineStr">
        <is>
          <t>Tổng số tính năng:</t>
        </is>
      </c>
      <c r="D40" s="46">
        <f>COUNTA(C5:C36)</f>
        <v/>
      </c>
    </row>
    <row r="41" ht="22" customHeight="1">
      <c r="A41" s="45" t="inlineStr">
        <is>
          <t>Tính năng Done:</t>
        </is>
      </c>
      <c r="D41" s="46">
        <f>COUNTIF(D5:D36,"✅ Done")</f>
        <v/>
      </c>
    </row>
    <row r="42" ht="22" customHeight="1">
      <c r="A42" s="45" t="inlineStr">
        <is>
          <t>Tính năng UAT Accepted:</t>
        </is>
      </c>
      <c r="D42" s="46">
        <f>COUNTIF(F5:F36,"✅ Accepted")</f>
        <v/>
      </c>
    </row>
    <row r="43" ht="22" customHeight="1">
      <c r="A43" s="45" t="inlineStr">
        <is>
          <t>Tỷ lệ hoàn thành:</t>
        </is>
      </c>
      <c r="D43" s="47">
        <f>COUNTIF(D5:D36,"✅ Done")/COUNTA(C5:C36)</f>
        <v/>
      </c>
    </row>
  </sheetData>
  <mergeCells count="8">
    <mergeCell ref="A42:C42"/>
    <mergeCell ref="A3:H3"/>
    <mergeCell ref="A41:C41"/>
    <mergeCell ref="A39:H39"/>
    <mergeCell ref="A2:H2"/>
    <mergeCell ref="A40:C40"/>
    <mergeCell ref="A1:H1"/>
    <mergeCell ref="A43:C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18" customWidth="1" min="4" max="4"/>
    <col width="15" customWidth="1" min="5" max="5"/>
    <col width="18" customWidth="1" min="6" max="6"/>
    <col width="18" customWidth="1" min="7" max="7"/>
    <col width="20" customWidth="1" min="8" max="8"/>
  </cols>
  <sheetData>
    <row r="1" ht="32" customHeight="1">
      <c r="A1" s="29" t="inlineStr">
        <is>
          <t>BẢNG BÁO GIÁ TRIỂN KHAI — SAREE ERP SYSTEM</t>
        </is>
      </c>
    </row>
    <row r="2" ht="20" customHeight="1">
      <c r="A2" s="30" t="inlineStr">
        <is>
          <t>Bảng giá tham khảo theo module — Giá có thể điều chỉnh theo yêu cầu thực tế</t>
        </is>
      </c>
    </row>
    <row r="3" ht="8" customHeight="1"/>
    <row r="4" ht="30" customHeight="1">
      <c r="A4" s="5" t="inlineStr">
        <is>
          <t>#</t>
        </is>
      </c>
      <c r="B4" s="5" t="inlineStr">
        <is>
          <t>Module</t>
        </is>
      </c>
      <c r="C4" s="5" t="inlineStr">
        <is>
          <t>Mô tả gói</t>
        </is>
      </c>
      <c r="D4" s="5" t="inlineStr">
        <is>
          <t>Loại giá</t>
        </is>
      </c>
      <c r="E4" s="5" t="inlineStr">
        <is>
          <t>Đơn vị</t>
        </is>
      </c>
      <c r="F4" s="5" t="inlineStr">
        <is>
          <t>Đơn giá (VNĐ)</t>
        </is>
      </c>
      <c r="G4" s="5" t="inlineStr">
        <is>
          <t>Số lượng</t>
        </is>
      </c>
      <c r="H4" s="5" t="inlineStr">
        <is>
          <t>Thành tiền (VNĐ)</t>
        </is>
      </c>
    </row>
    <row r="5" ht="26" customHeight="1">
      <c r="A5" s="48" t="n">
        <v>1</v>
      </c>
      <c r="B5" s="41" t="inlineStr">
        <is>
          <t>Xác Thực &amp; Tài Khoản</t>
        </is>
      </c>
      <c r="C5" s="41" t="inlineStr">
        <is>
          <t>Đăng nhập, đăng ký, khôi phục mật khẩu, profile</t>
        </is>
      </c>
      <c r="D5" s="41" t="inlineStr">
        <is>
          <t>Một lần</t>
        </is>
      </c>
      <c r="E5" s="41" t="inlineStr">
        <is>
          <t>Module</t>
        </is>
      </c>
      <c r="F5" s="49" t="n">
        <v>15000000</v>
      </c>
      <c r="G5" s="50" t="n">
        <v>1</v>
      </c>
      <c r="H5" s="51">
        <f>F5*G5</f>
        <v/>
      </c>
    </row>
    <row r="6" ht="26" customHeight="1">
      <c r="A6" s="52" t="n">
        <v>2</v>
      </c>
      <c r="B6" s="17" t="inlineStr">
        <is>
          <t>Quản Lý Công Ty &amp; Tổ Chức</t>
        </is>
      </c>
      <c r="C6" s="17" t="inlineStr">
        <is>
          <t>Công ty, phòng ban, org tree, thành viên</t>
        </is>
      </c>
      <c r="D6" s="17" t="inlineStr">
        <is>
          <t>Một lần</t>
        </is>
      </c>
      <c r="E6" s="17" t="inlineStr">
        <is>
          <t>Module</t>
        </is>
      </c>
      <c r="F6" s="53" t="n">
        <v>20000000</v>
      </c>
      <c r="G6" s="54" t="n">
        <v>1</v>
      </c>
      <c r="H6" s="55">
        <f>F6*G6</f>
        <v/>
      </c>
    </row>
    <row r="7" ht="26" customHeight="1">
      <c r="A7" s="48" t="n">
        <v>3</v>
      </c>
      <c r="B7" s="41" t="inlineStr">
        <is>
          <t>Phân Quyền Linh Hoạt (RBAC)</t>
        </is>
      </c>
      <c r="C7" s="41" t="inlineStr">
        <is>
          <t>Vai trò, quyền, phân quyền theo dự án/công ty</t>
        </is>
      </c>
      <c r="D7" s="41" t="inlineStr">
        <is>
          <t>Một lần</t>
        </is>
      </c>
      <c r="E7" s="41" t="inlineStr">
        <is>
          <t>Module</t>
        </is>
      </c>
      <c r="F7" s="49" t="n">
        <v>25000000</v>
      </c>
      <c r="G7" s="50" t="n">
        <v>1</v>
      </c>
      <c r="H7" s="51">
        <f>F7*G7</f>
        <v/>
      </c>
    </row>
    <row r="8" ht="26" customHeight="1">
      <c r="A8" s="52" t="n">
        <v>4</v>
      </c>
      <c r="B8" s="17" t="inlineStr">
        <is>
          <t>Quản Lý Dự Án</t>
        </is>
      </c>
      <c r="C8" s="17" t="inlineStr">
        <is>
          <t>CRUD dự án, thành viên, cấu hình level, cảnh báo trễ</t>
        </is>
      </c>
      <c r="D8" s="17" t="inlineStr">
        <is>
          <t>Một lần</t>
        </is>
      </c>
      <c r="E8" s="17" t="inlineStr">
        <is>
          <t>Module</t>
        </is>
      </c>
      <c r="F8" s="53" t="n">
        <v>30000000</v>
      </c>
      <c r="G8" s="54" t="n">
        <v>1</v>
      </c>
      <c r="H8" s="55">
        <f>F8*G8</f>
        <v/>
      </c>
    </row>
    <row r="9" ht="26" customHeight="1">
      <c r="A9" s="48" t="n">
        <v>5</v>
      </c>
      <c r="B9" s="41" t="inlineStr">
        <is>
          <t>Quản Lý Công Việc (Task)</t>
        </is>
      </c>
      <c r="C9" s="41" t="inlineStr">
        <is>
          <t>Task đa cấp, dependency, assignee, proof, audit log</t>
        </is>
      </c>
      <c r="D9" s="41" t="inlineStr">
        <is>
          <t>Một lần</t>
        </is>
      </c>
      <c r="E9" s="41" t="inlineStr">
        <is>
          <t>Module</t>
        </is>
      </c>
      <c r="F9" s="49" t="n">
        <v>50000000</v>
      </c>
      <c r="G9" s="50" t="n">
        <v>1</v>
      </c>
      <c r="H9" s="51">
        <f>F9*G9</f>
        <v/>
      </c>
    </row>
    <row r="10" ht="26" customHeight="1">
      <c r="A10" s="52" t="n">
        <v>6</v>
      </c>
      <c r="B10" s="17" t="inlineStr">
        <is>
          <t>Biểu Đồ Gantt</t>
        </is>
      </c>
      <c r="C10" s="17" t="inlineStr">
        <is>
          <t>Gantt Chart realtime, dependency view</t>
        </is>
      </c>
      <c r="D10" s="17" t="inlineStr">
        <is>
          <t>Một lần</t>
        </is>
      </c>
      <c r="E10" s="17" t="inlineStr">
        <is>
          <t>Module</t>
        </is>
      </c>
      <c r="F10" s="53" t="n">
        <v>20000000</v>
      </c>
      <c r="G10" s="54" t="n">
        <v>1</v>
      </c>
      <c r="H10" s="55">
        <f>F10*G10</f>
        <v/>
      </c>
    </row>
    <row r="11" ht="26" customHeight="1">
      <c r="A11" s="48" t="n">
        <v>7</v>
      </c>
      <c r="B11" s="41" t="inlineStr">
        <is>
          <t>Quản Lý Báo Giá</t>
        </is>
      </c>
      <c r="C11" s="41" t="inlineStr">
        <is>
          <t>7-stage workflow, negotiation, version, attachment</t>
        </is>
      </c>
      <c r="D11" s="41" t="inlineStr">
        <is>
          <t>Một lần</t>
        </is>
      </c>
      <c r="E11" s="41" t="inlineStr">
        <is>
          <t>Module</t>
        </is>
      </c>
      <c r="F11" s="49" t="n">
        <v>45000000</v>
      </c>
      <c r="G11" s="50" t="n">
        <v>1</v>
      </c>
      <c r="H11" s="51">
        <f>F11*G11</f>
        <v/>
      </c>
    </row>
    <row r="12" ht="26" customHeight="1">
      <c r="A12" s="52" t="n">
        <v>8</v>
      </c>
      <c r="B12" s="17" t="inlineStr">
        <is>
          <t>Báo Cáo Báo Giá</t>
        </is>
      </c>
      <c r="C12" s="17" t="inlineStr">
        <is>
          <t>Summary, by-client, by-product, lost analysis</t>
        </is>
      </c>
      <c r="D12" s="17" t="inlineStr">
        <is>
          <t>Một lần</t>
        </is>
      </c>
      <c r="E12" s="17" t="inlineStr">
        <is>
          <t>Module</t>
        </is>
      </c>
      <c r="F12" s="53" t="n">
        <v>15000000</v>
      </c>
      <c r="G12" s="54" t="n">
        <v>1</v>
      </c>
      <c r="H12" s="55">
        <f>F12*G12</f>
        <v/>
      </c>
    </row>
    <row r="13" ht="26" customHeight="1">
      <c r="A13" s="48" t="n">
        <v>9</v>
      </c>
      <c r="B13" s="41" t="inlineStr">
        <is>
          <t>Quản Lý Hợp Đồng</t>
        </is>
      </c>
      <c r="C13" s="41" t="inlineStr">
        <is>
          <t>7-step contract workflow, attachment</t>
        </is>
      </c>
      <c r="D13" s="41" t="inlineStr">
        <is>
          <t>Một lần</t>
        </is>
      </c>
      <c r="E13" s="41" t="inlineStr">
        <is>
          <t>Module</t>
        </is>
      </c>
      <c r="F13" s="49" t="n">
        <v>35000000</v>
      </c>
      <c r="G13" s="50" t="n">
        <v>1</v>
      </c>
      <c r="H13" s="51">
        <f>F13*G13</f>
        <v/>
      </c>
    </row>
    <row r="14" ht="26" customHeight="1">
      <c r="A14" s="52" t="n">
        <v>10</v>
      </c>
      <c r="B14" s="17" t="inlineStr">
        <is>
          <t>Yêu Cầu Vật Tư</t>
        </is>
      </c>
      <c r="C14" s="17" t="inlineStr">
        <is>
          <t>2-step approval, attachment, liên kết task</t>
        </is>
      </c>
      <c r="D14" s="17" t="inlineStr">
        <is>
          <t>Một lần</t>
        </is>
      </c>
      <c r="E14" s="17" t="inlineStr">
        <is>
          <t>Module</t>
        </is>
      </c>
      <c r="F14" s="53" t="n">
        <v>20000000</v>
      </c>
      <c r="G14" s="54" t="n">
        <v>1</v>
      </c>
      <c r="H14" s="55">
        <f>F14*G14</f>
        <v/>
      </c>
    </row>
    <row r="15" ht="26" customHeight="1">
      <c r="A15" s="48" t="n">
        <v>11</v>
      </c>
      <c r="B15" s="41" t="inlineStr">
        <is>
          <t>Chat Nội Bộ Realtime</t>
        </is>
      </c>
      <c r="C15" s="41" t="inlineStr">
        <is>
          <t>WebSocket chat, file upload, auto room</t>
        </is>
      </c>
      <c r="D15" s="41" t="inlineStr">
        <is>
          <t>Một lần</t>
        </is>
      </c>
      <c r="E15" s="41" t="inlineStr">
        <is>
          <t>Module</t>
        </is>
      </c>
      <c r="F15" s="49" t="n">
        <v>25000000</v>
      </c>
      <c r="G15" s="50" t="n">
        <v>1</v>
      </c>
      <c r="H15" s="51">
        <f>F15*G15</f>
        <v/>
      </c>
    </row>
    <row r="16" ht="26" customHeight="1">
      <c r="A16" s="52" t="n">
        <v>12</v>
      </c>
      <c r="B16" s="17" t="inlineStr">
        <is>
          <t>Thông Báo</t>
        </is>
      </c>
      <c r="C16" s="17" t="inlineStr">
        <is>
          <t>In-app, Push notification, Zalo bot</t>
        </is>
      </c>
      <c r="D16" s="17" t="inlineStr">
        <is>
          <t>Một lần</t>
        </is>
      </c>
      <c r="E16" s="17" t="inlineStr">
        <is>
          <t>Module</t>
        </is>
      </c>
      <c r="F16" s="53" t="n">
        <v>15000000</v>
      </c>
      <c r="G16" s="54" t="n">
        <v>1</v>
      </c>
      <c r="H16" s="55">
        <f>F16*G16</f>
        <v/>
      </c>
    </row>
    <row r="17" ht="26" customHeight="1">
      <c r="A17" s="48" t="n">
        <v>13</v>
      </c>
      <c r="B17" s="41" t="inlineStr">
        <is>
          <t>Dashboard &amp; Báo Cáo</t>
        </is>
      </c>
      <c r="C17" s="41" t="inlineStr">
        <is>
          <t>KPI dashboard, team &amp; company reports</t>
        </is>
      </c>
      <c r="D17" s="41" t="inlineStr">
        <is>
          <t>Một lần</t>
        </is>
      </c>
      <c r="E17" s="41" t="inlineStr">
        <is>
          <t>Module</t>
        </is>
      </c>
      <c r="F17" s="49" t="n">
        <v>20000000</v>
      </c>
      <c r="G17" s="50" t="n">
        <v>1</v>
      </c>
      <c r="H17" s="51">
        <f>F17*G17</f>
        <v/>
      </c>
    </row>
    <row r="18" ht="26" customHeight="1">
      <c r="A18" s="52" t="n">
        <v>14</v>
      </c>
      <c r="B18" s="17" t="inlineStr">
        <is>
          <t>Quản Trị Hệ Thống</t>
        </is>
      </c>
      <c r="C18" s="17" t="inlineStr">
        <is>
          <t>Admin panel, multi-tenant, Docker deploy</t>
        </is>
      </c>
      <c r="D18" s="17" t="inlineStr">
        <is>
          <t>Một lần</t>
        </is>
      </c>
      <c r="E18" s="17" t="inlineStr">
        <is>
          <t>Module</t>
        </is>
      </c>
      <c r="F18" s="53" t="n">
        <v>10000000</v>
      </c>
      <c r="G18" s="54" t="n">
        <v>1</v>
      </c>
      <c r="H18" s="55">
        <f>F18*G18</f>
        <v/>
      </c>
    </row>
    <row r="19" ht="30" customHeight="1">
      <c r="A19" s="56" t="inlineStr">
        <is>
          <t>TỔNG CỘNG (chưa VAT)</t>
        </is>
      </c>
      <c r="H19" s="57">
        <f>SUM(H5:H18)</f>
        <v/>
      </c>
    </row>
    <row r="20" ht="26" customHeight="1">
      <c r="A20" s="58" t="inlineStr">
        <is>
          <t>VAT (10%)</t>
        </is>
      </c>
      <c r="H20" s="59">
        <f>H19*0.1</f>
        <v/>
      </c>
    </row>
    <row r="21" ht="34" customHeight="1">
      <c r="A21" s="60" t="inlineStr">
        <is>
          <t>TỔNG CỘNG (đã bao gồm VAT)</t>
        </is>
      </c>
      <c r="H21" s="61">
        <f>H19+H20</f>
        <v/>
      </c>
    </row>
    <row r="23" ht="36" customHeight="1">
      <c r="A23" s="62" t="inlineStr">
        <is>
          <t>LƯU Ý: Bảng giá trên là giá tham khảo. Giá thực tế sẽ được thỏa thuận theo yêu cầu và quy mô triển khai thực tế của khách hàng.</t>
        </is>
      </c>
    </row>
  </sheetData>
  <mergeCells count="7">
    <mergeCell ref="A3:H3"/>
    <mergeCell ref="A21:G21"/>
    <mergeCell ref="A2:H2"/>
    <mergeCell ref="A20:G20"/>
    <mergeCell ref="A1:H1"/>
    <mergeCell ref="A23:H23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2026-05-11T11:24:13Z</dcterms:created>
  <dcterms:modified xmlns:dcterms="http://purl.org/dc/terms/" xmlns:xsi="http://www.w3.org/2001/XMLSchema-instance" xsi:type="dcterms:W3CDTF">2026-05-11T11:24:13Z</dcterms:modified>
</cp:coreProperties>
</file>